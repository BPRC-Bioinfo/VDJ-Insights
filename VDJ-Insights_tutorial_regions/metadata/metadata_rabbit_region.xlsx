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var/folders/ns/510bp5fn73n833kjfdvkwhc00000gq/T/ch.sudo.cyberduck/editor-e674b424-9177-4657-aeee-49e5b9809cab/home/susan/PyCharm/VDJ-insights/Rabbit/1568640152/"/>
    </mc:Choice>
  </mc:AlternateContent>
  <xr:revisionPtr revIDLastSave="0" documentId="13_ncr:1_{267C285E-3B33-E244-A603-74806E5D6AEB}" xr6:coauthVersionLast="47" xr6:coauthVersionMax="47" xr10:uidLastSave="{00000000-0000-0000-0000-000000000000}"/>
  <bookViews>
    <workbookView xWindow="30980" yWindow="-11820" windowWidth="27980" windowHeight="21000" xr2:uid="{00000000-000D-0000-FFFF-FFFF00000000}"/>
  </bookViews>
  <sheets>
    <sheet name="Sheet 1 - assemblies" sheetId="1" r:id="rId1"/>
    <sheet name="Sheet2" sheetId="3" r:id="rId2"/>
  </sheets>
  <definedNames>
    <definedName name="_xlnm._FilterDatabase" localSheetId="0" hidden="1">'Sheet 1 - assemblies'!$A$1:$C$561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1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" i="3"/>
  <c r="B7" i="3"/>
  <c r="B3" i="3"/>
  <c r="B4" i="3"/>
  <c r="B5" i="3"/>
  <c r="B6" i="3"/>
  <c r="B2" i="3"/>
</calcChain>
</file>

<file path=xl/sharedStrings.xml><?xml version="1.0" encoding="utf-8"?>
<sst xmlns="http://schemas.openxmlformats.org/spreadsheetml/2006/main" count="549" uniqueCount="508">
  <si>
    <t>Unspecified</t>
  </si>
  <si>
    <t>Population</t>
  </si>
  <si>
    <t>Accession</t>
  </si>
  <si>
    <t>Accession name</t>
  </si>
  <si>
    <t>AFR</t>
  </si>
  <si>
    <t>EUR</t>
  </si>
  <si>
    <t>AMR</t>
  </si>
  <si>
    <t>EAS</t>
  </si>
  <si>
    <t>SAS</t>
  </si>
  <si>
    <t>GCA_000001405.15_GRCh38_no_alt_analysis_set.PanSN.</t>
  </si>
  <si>
    <t>GCF_000001405.40_GRCh38.p14_genomic.</t>
  </si>
  <si>
    <t>GCF_009914755.1.</t>
  </si>
  <si>
    <t>HG00097_hap1_hprc_r2_v1.0.1.</t>
  </si>
  <si>
    <t>HG00097_hap2_hprc_r2_v1.0.1.</t>
  </si>
  <si>
    <t>HG00099_hap1_hprc_r2_v1.0.1.</t>
  </si>
  <si>
    <t>HG00099_hap2_hprc_r2_v1.0.1.</t>
  </si>
  <si>
    <t>HG00126_hap1_hprc_r2_v1.0.1.</t>
  </si>
  <si>
    <t>HG00126_hap2_hprc_r2_v1.0.1.</t>
  </si>
  <si>
    <t>HG00128_hap1_hprc_r2_v1.0.1.</t>
  </si>
  <si>
    <t>HG00128_hap2_hprc_r2_v1.0.1.</t>
  </si>
  <si>
    <t>HG00133_hap1_hprc_r2_v1.0.1.</t>
  </si>
  <si>
    <t>HG00133_hap2_hprc_r2_v1.0.1.</t>
  </si>
  <si>
    <t>HG00140_hap1_hprc_r2_v1.0.1.</t>
  </si>
  <si>
    <t>HG00140_hap2_hprc_r2_v1.0.1.</t>
  </si>
  <si>
    <t>HG00146_hap1_hprc_r2_v1.0.1.</t>
  </si>
  <si>
    <t>HG00146_hap2_hprc_r2_v1.0.1.</t>
  </si>
  <si>
    <t>HG00232_hap1_hprc_r2_v1.0.1.</t>
  </si>
  <si>
    <t>HG00232_hap2_hprc_r2_v1.0.1.</t>
  </si>
  <si>
    <t>HG00235_hap1_hprc_r2_v1.0.1.</t>
  </si>
  <si>
    <t>HG00235_hap2_hprc_r2_v1.0.1.</t>
  </si>
  <si>
    <t>HG00253_hap1_hprc_r2_v1.0.1.</t>
  </si>
  <si>
    <t>HG00253_hap2_hprc_r2_v1.0.1.</t>
  </si>
  <si>
    <t>HG00272_hap1_hprc_r2_v1.0.1.</t>
  </si>
  <si>
    <t>HG00272_hap2_hprc_r2_v1.0.1.</t>
  </si>
  <si>
    <t>HG00280_hap1_hprc_r2_v1.0.1.</t>
  </si>
  <si>
    <t>HG00280_hap2_hprc_r2_v1.0.1.</t>
  </si>
  <si>
    <t>HG00290_hap1_hprc_r2_v1.0.1.</t>
  </si>
  <si>
    <t>HG00290_hap2_hprc_r2_v1.0.1.</t>
  </si>
  <si>
    <t>HG00320_hap1_hprc_r2_v1.0.1.</t>
  </si>
  <si>
    <t>HG00320_hap2_hprc_r2_v1.0.1.</t>
  </si>
  <si>
    <t>HG00321_hap1_hprc_r2_v1.0.1.</t>
  </si>
  <si>
    <t>HG00321_hap2_hprc_r2_v1.0.1.</t>
  </si>
  <si>
    <t>HG00323_hap1_hprc_r2_v1.0.1.</t>
  </si>
  <si>
    <t>HG00323_hap2_hprc_r2_v1.0.1.</t>
  </si>
  <si>
    <t>HG00329_hap1_hprc_r2_v1.0.1.</t>
  </si>
  <si>
    <t>HG00329_hap2_hprc_r2_v1.0.1.</t>
  </si>
  <si>
    <t>HG00344_hap1_hprc_r2_v1.0.1.</t>
  </si>
  <si>
    <t>HG00344_hap2_hprc_r2_v1.0.1.</t>
  </si>
  <si>
    <t>HG00350_hap1_hprc_r2_v1.0.1.</t>
  </si>
  <si>
    <t>HG00350_hap2_hprc_r2_v1.0.1.</t>
  </si>
  <si>
    <t>HG00408_mat_hprc_r2_v1.0.1.</t>
  </si>
  <si>
    <t>HG00408_pat_hprc_r2_v1.0.1.</t>
  </si>
  <si>
    <t>HG00423_mat_hprc_r2_v1.0.1.</t>
  </si>
  <si>
    <t>HG00423_pat_hprc_r2_v1.0.1.</t>
  </si>
  <si>
    <t>HG00438_mat_hprc_r2_v1.0.1.</t>
  </si>
  <si>
    <t>HG00438_pat_hprc_r2_v1.0.1.</t>
  </si>
  <si>
    <t>HG00544_mat_hprc_r2_v1.0.1.</t>
  </si>
  <si>
    <t>HG00544_pat_hprc_r2_v1.0.1.</t>
  </si>
  <si>
    <t>HG00558_mat_hprc_r2_v1.0.1.</t>
  </si>
  <si>
    <t>HG00558_pat_hprc_r2_v1.0.1.</t>
  </si>
  <si>
    <t>HG00597_mat_hprc_r2_v1.0.1.</t>
  </si>
  <si>
    <t>HG00597_pat_hprc_r2_v1.0.1.</t>
  </si>
  <si>
    <t>HG005_mat_hprc_r2_v1.0.1.</t>
  </si>
  <si>
    <t>HG005_pat_hprc_r2_v1.0.1.</t>
  </si>
  <si>
    <t>HG00609_mat_hprc_r2_v1.0.1.</t>
  </si>
  <si>
    <t>HG00609_pat_hprc_r2_v1.0.1.</t>
  </si>
  <si>
    <t>HG00621_mat_hprc_r2_v1.0.1.</t>
  </si>
  <si>
    <t>HG00621_pat_hprc_r2_v1.0.1.</t>
  </si>
  <si>
    <t>HG00639_mat_hprc_r2_v1.0.1.</t>
  </si>
  <si>
    <t>HG00639_pat_hprc_r2_v1.0.1.</t>
  </si>
  <si>
    <t>HG00642_mat_hprc_r2_v1.0.1.</t>
  </si>
  <si>
    <t>HG00642_pat_hprc_r2_v1.0.1.</t>
  </si>
  <si>
    <t>HG00658_mat_hprc_r2_v1.0.1.</t>
  </si>
  <si>
    <t>HG00658_pat_hprc_r2_v1.0.1.</t>
  </si>
  <si>
    <t>HG00673_mat_hprc_r2_v1.0.1.</t>
  </si>
  <si>
    <t>HG00673_pat_hprc_r2_v1.0.1.</t>
  </si>
  <si>
    <t>HG00706_mat_hprc_r2_v1.0.1.</t>
  </si>
  <si>
    <t>HG00706_pat_hprc_r2_v1.0.1.</t>
  </si>
  <si>
    <t>HG00733_mat_hprc_r2_v1.0.1.</t>
  </si>
  <si>
    <t>HG00733_pat_hprc_r2_v1.0.1.</t>
  </si>
  <si>
    <t>HG00735_mat_hprc_r2_v1.0.1.</t>
  </si>
  <si>
    <t>HG00735_pat_hprc_r2_v1.0.1.</t>
  </si>
  <si>
    <t>HG00738_mat_hprc_r2_v1.0.1.</t>
  </si>
  <si>
    <t>HG00738_pat_hprc_r2_v1.0.1.</t>
  </si>
  <si>
    <t>HG00741_mat_hprc_r2_v1.0.1.</t>
  </si>
  <si>
    <t>HG00741_pat_hprc_r2_v1.0.1.</t>
  </si>
  <si>
    <t>HG01071_mat_hprc_r2_v1.0.1.</t>
  </si>
  <si>
    <t>HG01071_pat_hprc_r2_v1.0.1.</t>
  </si>
  <si>
    <t>HG01074_mat_hprc_r2_v1.0.1.</t>
  </si>
  <si>
    <t>HG01074_pat_hprc_r2_v1.0.1.</t>
  </si>
  <si>
    <t>HG01081_mat_hprc_r2_v1.0.1.</t>
  </si>
  <si>
    <t>HG01081_pat_hprc_r2_v1.0.1.</t>
  </si>
  <si>
    <t>HG01099_mat_hprc_r2_v1.0.1.</t>
  </si>
  <si>
    <t>HG01099_pat_hprc_r2_v1.0.1.</t>
  </si>
  <si>
    <t>HG01106_mat_hprc_r2_v1.0.1.</t>
  </si>
  <si>
    <t>HG01106_pat_hprc_r2_v1.0.1.</t>
  </si>
  <si>
    <t>HG01109_mat_hprc_r2_v1.0.1.</t>
  </si>
  <si>
    <t>HG01109_pat_hprc_r2_v1.0.1.</t>
  </si>
  <si>
    <t>HG01123_mat_hprc_r2_v1.0.1.</t>
  </si>
  <si>
    <t>HG01123_pat_hprc_r2_v1.0.1.</t>
  </si>
  <si>
    <t>HG01150_mat_hprc_r2_v1.0.1.</t>
  </si>
  <si>
    <t>HG01150_pat_hprc_r2_v1.0.1.</t>
  </si>
  <si>
    <t>HG01167_hap1_hprc_r2_v1.0.1.</t>
  </si>
  <si>
    <t>HG01167_hap2_hprc_r2_v1.0.1.</t>
  </si>
  <si>
    <t>HG01175_mat_hprc_r2_v1.0.1.</t>
  </si>
  <si>
    <t>HG01175_pat_hprc_r2_v1.0.1.</t>
  </si>
  <si>
    <t>HG01192_mat_hprc_r2_v1.0.1.</t>
  </si>
  <si>
    <t>HG01192_pat_hprc_r2_v1.0.1.</t>
  </si>
  <si>
    <t>HG01243_mat_hprc_r2_v1.0.1.</t>
  </si>
  <si>
    <t>HG01243_pat_hprc_r2_v1.0.1.</t>
  </si>
  <si>
    <t>HG01252_mat_hprc_r2_v1.0.1.</t>
  </si>
  <si>
    <t>HG01252_pat_hprc_r2_v1.0.1.</t>
  </si>
  <si>
    <t>HG01255_mat_hprc_r2_v1.0.1.</t>
  </si>
  <si>
    <t>HG01255_pat_hprc_r2_v1.0.1.</t>
  </si>
  <si>
    <t>HG01258_mat_hprc_r2_v1.0.1.</t>
  </si>
  <si>
    <t>HG01258_pat_hprc_r2_v1.0.1.</t>
  </si>
  <si>
    <t>HG01261_mat_hprc_r2_v1.0.1.</t>
  </si>
  <si>
    <t>HG01261_pat_hprc_r2_v1.0.1.</t>
  </si>
  <si>
    <t>HG01346_mat_hprc_r2_v1.0.1.</t>
  </si>
  <si>
    <t>HG01346_pat_hprc_r2_v1.0.1.</t>
  </si>
  <si>
    <t>HG01358_mat_hprc_r2_v1.0.1.</t>
  </si>
  <si>
    <t>HG01358_pat_hprc_r2_v1.0.1.</t>
  </si>
  <si>
    <t>HG01361_mat_hprc_r2_v1.0.1.</t>
  </si>
  <si>
    <t>HG01361_pat_hprc_r2_v1.0.1.</t>
  </si>
  <si>
    <t>HG01433_mat_hprc_r2_v1.0.1.</t>
  </si>
  <si>
    <t>HG01433_pat_hprc_r2_v1.0.1.</t>
  </si>
  <si>
    <t>HG01496_mat_hprc_r2_v1.0.1.</t>
  </si>
  <si>
    <t>HG01496_pat_hprc_r2_v1.0.1.</t>
  </si>
  <si>
    <t>HG01530_hap1_hprc_r2_v1.0.1.</t>
  </si>
  <si>
    <t>HG01530_hap2_hprc_r2_v1.0.1.</t>
  </si>
  <si>
    <t>HG01784_hap1_hprc_r2_v1.0.1.</t>
  </si>
  <si>
    <t>HG01784_hap2_hprc_r2_v1.0.1.</t>
  </si>
  <si>
    <t>HG01786_hap1_hprc_r2_v1.0.1.</t>
  </si>
  <si>
    <t>HG01786_hap2_hprc_r2_v1.0.1.</t>
  </si>
  <si>
    <t>HG01884_mat_hprc_r2_v1.0.1.</t>
  </si>
  <si>
    <t>HG01884_pat_hprc_r2_v1.0.1.</t>
  </si>
  <si>
    <t>HG01891_mat_hprc_r2_v1.0.1.</t>
  </si>
  <si>
    <t>HG01891_pat_hprc_r2_v1.0.1.</t>
  </si>
  <si>
    <t>HG01928_mat_hprc_r2_v1.0.1.</t>
  </si>
  <si>
    <t>HG01928_pat_hprc_r2_v1.0.1.</t>
  </si>
  <si>
    <t>HG01934_mat_hprc_r2_v1.0.1.</t>
  </si>
  <si>
    <t>HG01934_pat_hprc_r2_v1.0.1.</t>
  </si>
  <si>
    <t>HG01940_mat_hprc_r2_v1.0.1.</t>
  </si>
  <si>
    <t>HG01940_pat_hprc_r2_v1.0.1.</t>
  </si>
  <si>
    <t>HG01943_mat_hprc_r2_v1.0.1.</t>
  </si>
  <si>
    <t>HG01943_pat_hprc_r2_v1.0.1.</t>
  </si>
  <si>
    <t>HG01952_mat_hprc_r2_v1.0.1.</t>
  </si>
  <si>
    <t>HG01952_pat_hprc_r2_v1.0.1.</t>
  </si>
  <si>
    <t>HG01960_mat_hprc_r2_v1.0.1.</t>
  </si>
  <si>
    <t>HG01960_pat_hprc_r2_v1.0.1.</t>
  </si>
  <si>
    <t>HG01969_mat_hprc_r2_v1.0.1.</t>
  </si>
  <si>
    <t>HG01969_pat_hprc_r2_v1.0.1.</t>
  </si>
  <si>
    <t>HG01975_mat_hprc_r2_v1.0.1.</t>
  </si>
  <si>
    <t>HG01975_pat_hprc_r2_v1.0.1.</t>
  </si>
  <si>
    <t>HG01978_mat_hprc_r2_v1.1.0.</t>
  </si>
  <si>
    <t>HG01978_pat_hprc_r2_v1.1.0.</t>
  </si>
  <si>
    <t>HG01981_mat_hprc_r2_v1.0.1.</t>
  </si>
  <si>
    <t>HG01981_pat_hprc_r2_v1.0.1.</t>
  </si>
  <si>
    <t>HG01993_mat_hprc_r2_v1.0.1.</t>
  </si>
  <si>
    <t>HG01993_pat_hprc_r2_v1.0.1.</t>
  </si>
  <si>
    <t>HG02004_mat_hprc_r2_v1.0.1.</t>
  </si>
  <si>
    <t>HG02004_pat_hprc_r2_v1.0.1.</t>
  </si>
  <si>
    <t>HG02015_mat_hprc_r2_v1.0.1.</t>
  </si>
  <si>
    <t>HG02015_pat_hprc_r2_v1.0.1.</t>
  </si>
  <si>
    <t>HG02027_mat_hprc_r2_v1.0.1.</t>
  </si>
  <si>
    <t>HG02027_pat_hprc_r2_v1.0.1.</t>
  </si>
  <si>
    <t>HG02040_hap1_hprc_r2_v1.0.1.</t>
  </si>
  <si>
    <t>HG02040_hap2_hprc_r2_v1.0.1.</t>
  </si>
  <si>
    <t>HG02055_mat_hprc_r2_v1.0.1.</t>
  </si>
  <si>
    <t>HG02055_pat_hprc_r2_v1.0.1.</t>
  </si>
  <si>
    <t>HG02056_mat_hprc_r2_v1.0.1.</t>
  </si>
  <si>
    <t>HG02056_pat_hprc_r2_v1.0.1.</t>
  </si>
  <si>
    <t>HG02071_mat_hprc_r2_v1.0.1.</t>
  </si>
  <si>
    <t>HG02071_pat_hprc_r2_v1.0.1.</t>
  </si>
  <si>
    <t>HG02074_mat_hprc_r2_v1.0.1.</t>
  </si>
  <si>
    <t>HG02074_pat_hprc_r2_v1.0.1.</t>
  </si>
  <si>
    <t>HG02080_mat_hprc_r2_v1.0.1.</t>
  </si>
  <si>
    <t>HG02080_pat_hprc_r2_v1.0.1.</t>
  </si>
  <si>
    <t>HG02083_mat_hprc_r2_v1.0.1.</t>
  </si>
  <si>
    <t>HG02083_pat_hprc_r2_v1.0.1.</t>
  </si>
  <si>
    <t>HG02109_mat_hprc_r2_v1.0.1.</t>
  </si>
  <si>
    <t>HG02109_pat_hprc_r2_v1.0.1.</t>
  </si>
  <si>
    <t>HG02129_mat_hprc_r2_v1.0.1.</t>
  </si>
  <si>
    <t>HG02129_pat_hprc_r2_v1.0.1.</t>
  </si>
  <si>
    <t>HG02132_mat_hprc_r2_v1.0.1.</t>
  </si>
  <si>
    <t>HG02132_pat_hprc_r2_v1.0.1.</t>
  </si>
  <si>
    <t>HG02135_mat_hprc_r2_v1.0.1.</t>
  </si>
  <si>
    <t>HG02135_pat_hprc_r2_v1.0.1.</t>
  </si>
  <si>
    <t>HG02145_mat_hprc_r2_v1.0.1.</t>
  </si>
  <si>
    <t>HG02145_pat_hprc_r2_v1.0.1.</t>
  </si>
  <si>
    <t>HG02148_mat_hprc_r2_v1.0.1.</t>
  </si>
  <si>
    <t>HG02148_pat_hprc_r2_v1.0.1.</t>
  </si>
  <si>
    <t>HG02155_hap1_hprc_r2_v1.0.1.</t>
  </si>
  <si>
    <t>HG02155_hap2_hprc_r2_v1.0.1.</t>
  </si>
  <si>
    <t>HG02165_hap1_hprc_r2_v1.0.1.</t>
  </si>
  <si>
    <t>HG02165_hap2_hprc_r2_v1.0.1.</t>
  </si>
  <si>
    <t>HG02178_hap1_hprc_r2_v1.0.1.</t>
  </si>
  <si>
    <t>HG02178_hap2_hprc_r2_v1.0.1.</t>
  </si>
  <si>
    <t>HG02257_mat_hprc_r2_v1.1.0.</t>
  </si>
  <si>
    <t>HG02257_pat_hprc_r2_v1.1.0.</t>
  </si>
  <si>
    <t>HG02258_mat_hprc_r2_v1.0.1.</t>
  </si>
  <si>
    <t>HG02258_pat_hprc_r2_v1.0.1.</t>
  </si>
  <si>
    <t>HG02273_hap1_hprc_r2_v1.0.1.</t>
  </si>
  <si>
    <t>HG02273_hap2_hprc_r2_v1.0.1.</t>
  </si>
  <si>
    <t>HG02280_mat_hprc_r2_v1.0.1.</t>
  </si>
  <si>
    <t>HG02280_pat_hprc_r2_v1.0.1.</t>
  </si>
  <si>
    <t>HG02293_mat_hprc_r2_v1.0.1.</t>
  </si>
  <si>
    <t>HG02293_pat_hprc_r2_v1.0.1.</t>
  </si>
  <si>
    <t>HG02300_mat_hprc_r2_v1.0.1.</t>
  </si>
  <si>
    <t>HG02300_pat_hprc_r2_v1.0.1.</t>
  </si>
  <si>
    <t>HG02391_hap1_hprc_r2_v1.0.1.</t>
  </si>
  <si>
    <t>HG02391_hap2_hprc_r2_v1.0.1.</t>
  </si>
  <si>
    <t>HG02392_hap1_hprc_r2_v1.0.1.</t>
  </si>
  <si>
    <t>HG02392_hap2_hprc_r2_v1.0.1.</t>
  </si>
  <si>
    <t>HG02451_mat_hprc_r2_v1.0.1.</t>
  </si>
  <si>
    <t>HG02451_pat_hprc_r2_v1.0.1.</t>
  </si>
  <si>
    <t>HG02486_mat_hprc_r2_v1.0.1.</t>
  </si>
  <si>
    <t>HG02486_pat_hprc_r2_v1.0.1.</t>
  </si>
  <si>
    <t>HG02514_mat_hprc_r2_v1.0.1.</t>
  </si>
  <si>
    <t>HG02514_pat_hprc_r2_v1.0.1.</t>
  </si>
  <si>
    <t>HG02523_mat_hprc_r2_v1.0.1.</t>
  </si>
  <si>
    <t>HG02523_pat_hprc_r2_v1.0.1.</t>
  </si>
  <si>
    <t>HG02559_mat_hprc_r2_v1.0.1.</t>
  </si>
  <si>
    <t>HG02559_pat_hprc_r2_v1.0.1.</t>
  </si>
  <si>
    <t>HG02572_mat_hprc_r2_v1.0.1.</t>
  </si>
  <si>
    <t>HG02572_pat_hprc_r2_v1.0.1.</t>
  </si>
  <si>
    <t>HG02583_hap1_hprc_r2_v1.0.1.</t>
  </si>
  <si>
    <t>HG02583_hap2_hprc_r2_v1.0.1.</t>
  </si>
  <si>
    <t>HG02602_mat_hprc_r2_v1.0.1.</t>
  </si>
  <si>
    <t>HG02602_pat_hprc_r2_v1.0.1.</t>
  </si>
  <si>
    <t>HG02615_mat_hprc_r2_v1.0.1.</t>
  </si>
  <si>
    <t>HG02615_pat_hprc_r2_v1.0.1.</t>
  </si>
  <si>
    <t>HG02622_mat_hprc_r2_v1.0.1.</t>
  </si>
  <si>
    <t>HG02622_pat_hprc_r2_v1.0.1.</t>
  </si>
  <si>
    <t>HG02630_mat_hprc_r2_v1.0.1.</t>
  </si>
  <si>
    <t>HG02630_pat_hprc_r2_v1.0.1.</t>
  </si>
  <si>
    <t>HG02647_mat_hprc_r2_v1.0.1.</t>
  </si>
  <si>
    <t>HG02647_pat_hprc_r2_v1.0.1.</t>
  </si>
  <si>
    <t>HG02668_mat_hprc_r2_v1.0.1.</t>
  </si>
  <si>
    <t>HG02668_pat_hprc_r2_v1.0.1.</t>
  </si>
  <si>
    <t>HG02698_mat_hprc_r2_v1.0.1.</t>
  </si>
  <si>
    <t>HG02698_pat_hprc_r2_v1.0.1.</t>
  </si>
  <si>
    <t>HG02717_mat_hprc_r2_v1.0.1.</t>
  </si>
  <si>
    <t>HG02717_pat_hprc_r2_v1.0.1.</t>
  </si>
  <si>
    <t>HG02723_mat_hprc_r2_v1.0.1.</t>
  </si>
  <si>
    <t>HG02723_pat_hprc_r2_v1.0.1.</t>
  </si>
  <si>
    <t>HG02735_mat_hprc_r2_v1.0.1.</t>
  </si>
  <si>
    <t>HG02735_pat_hprc_r2_v1.0.1.</t>
  </si>
  <si>
    <t>HG02738_mat_hprc_r2_v1.0.1.</t>
  </si>
  <si>
    <t>HG02738_pat_hprc_r2_v1.0.1.</t>
  </si>
  <si>
    <t>HG02809_mat_hprc_r2_v1.0.1.</t>
  </si>
  <si>
    <t>HG02809_pat_hprc_r2_v1.0.1.</t>
  </si>
  <si>
    <t>HG02818_mat_hprc_r2_v1.0.1.</t>
  </si>
  <si>
    <t>HG02818_pat_hprc_r2_v1.0.1.</t>
  </si>
  <si>
    <t>HG02841_mat_hprc_r2_v1.0.1.</t>
  </si>
  <si>
    <t>HG02841_pat_hprc_r2_v1.0.1.</t>
  </si>
  <si>
    <t>HG02886_mat_hprc_r2_v1.0.1.</t>
  </si>
  <si>
    <t>HG02886_pat_hprc_r2_v1.0.1.</t>
  </si>
  <si>
    <t>HG02922_hap1_hprc_r2_v1.0.1.</t>
  </si>
  <si>
    <t>HG02922_hap2_hprc_r2_v1.0.1.</t>
  </si>
  <si>
    <t>HG02965_hap1_hprc_r2_v1.0.1.</t>
  </si>
  <si>
    <t>HG02965_hap2_hprc_r2_v1.0.1.</t>
  </si>
  <si>
    <t>HG02976_hap1_hprc_r2_v1.0.1.</t>
  </si>
  <si>
    <t>HG02976_hap2_hprc_r2_v1.0.1.</t>
  </si>
  <si>
    <t>HG02984_mat_hprc_r2_v1.0.1.</t>
  </si>
  <si>
    <t>HG02984_pat_hprc_r2_v1.0.1.</t>
  </si>
  <si>
    <t>HG03017_mat_hprc_r2_v1.0.1.</t>
  </si>
  <si>
    <t>HG03017_pat_hprc_r2_v1.0.1.</t>
  </si>
  <si>
    <t>HG03041_mat_hprc_r2_v1.0.1.</t>
  </si>
  <si>
    <t>HG03041_pat_hprc_r2_v1.0.1.</t>
  </si>
  <si>
    <t>HG03050_mat_hprc_r2_v1.0.1.</t>
  </si>
  <si>
    <t>HG03050_pat_hprc_r2_v1.0.1.</t>
  </si>
  <si>
    <t>HG03098_mat_hprc_r2_v1.0.1.</t>
  </si>
  <si>
    <t>HG03098_pat_hprc_r2_v1.0.1.</t>
  </si>
  <si>
    <t>HG03130_hap1_hprc_r2_v1.0.1.</t>
  </si>
  <si>
    <t>HG03130_hap2_hprc_r2_v1.0.1.</t>
  </si>
  <si>
    <t>HG03139_hap1_hprc_r2_v1.0.1.</t>
  </si>
  <si>
    <t>HG03139_hap2_hprc_r2_v1.0.1.</t>
  </si>
  <si>
    <t>HG03195_hap1_hprc_r2_v1.0.1.</t>
  </si>
  <si>
    <t>HG03195_hap2_hprc_r2_v1.0.1.</t>
  </si>
  <si>
    <t>HG03209_hap1_hprc_r2_v1.0.1.</t>
  </si>
  <si>
    <t>HG03209_hap2_hprc_r2_v1.0.1.</t>
  </si>
  <si>
    <t>HG03225_hap1_hprc_r2_v1.0.1.</t>
  </si>
  <si>
    <t>HG03225_hap2_hprc_r2_v1.0.1.</t>
  </si>
  <si>
    <t>HG03239_mat_hprc_r2_v1.0.1.</t>
  </si>
  <si>
    <t>HG03239_pat_hprc_r2_v1.0.1.</t>
  </si>
  <si>
    <t>HG03270_hap1_hprc_r2_v1.0.1.</t>
  </si>
  <si>
    <t>HG03270_hap2_hprc_r2_v1.0.1.</t>
  </si>
  <si>
    <t>HG03369_hap1_hprc_r2_v1.0.1.</t>
  </si>
  <si>
    <t>HG03369_hap2_hprc_r2_v1.0.1.</t>
  </si>
  <si>
    <t>HG03453_mat_hprc_r2_v1.0.1.</t>
  </si>
  <si>
    <t>HG03453_pat_hprc_r2_v1.0.1.</t>
  </si>
  <si>
    <t>HG03470_hap1_hprc_r2_v1.0.1.</t>
  </si>
  <si>
    <t>HG03470_hap2_hprc_r2_v1.0.1.</t>
  </si>
  <si>
    <t>HG03471_hap1_hprc_r2_v1.0.1.</t>
  </si>
  <si>
    <t>HG03471_hap2_hprc_r2_v1.0.1.</t>
  </si>
  <si>
    <t>HG03486_mat_hprc_r2_v1.0.1.</t>
  </si>
  <si>
    <t>HG03486_pat_hprc_r2_v1.0.1.</t>
  </si>
  <si>
    <t>HG03516_mat_hprc_r2_v1.1.0.</t>
  </si>
  <si>
    <t>HG03516_pat_hprc_r2_v1.1.0.</t>
  </si>
  <si>
    <t>HG03521_hap1_hprc_r2_v1.0.1.</t>
  </si>
  <si>
    <t>HG03521_hap2_hprc_r2_v1.0.1.</t>
  </si>
  <si>
    <t>HG03540_mat_hprc_r2_v1.0.1.</t>
  </si>
  <si>
    <t>HG03540_pat_hprc_r2_v1.0.1.</t>
  </si>
  <si>
    <t>HG03579_mat_hprc_r2_v1.0.1.</t>
  </si>
  <si>
    <t>HG03579_pat_hprc_r2_v1.0.1.</t>
  </si>
  <si>
    <t>HG03583_hap1_hprc_r2_v1.0.1.</t>
  </si>
  <si>
    <t>HG03583_hap2_hprc_r2_v1.0.1.</t>
  </si>
  <si>
    <t>HG03654_mat_hprc_r2_v1.0.1.</t>
  </si>
  <si>
    <t>HG03654_pat_hprc_r2_v1.0.1.</t>
  </si>
  <si>
    <t>HG03669_mat_hprc_r2_v1.0.1.</t>
  </si>
  <si>
    <t>HG03669_pat_hprc_r2_v1.0.1.</t>
  </si>
  <si>
    <t>HG03688_mat_hprc_r2_v1.0.1.</t>
  </si>
  <si>
    <t>HG03688_pat_hprc_r2_v1.0.1.</t>
  </si>
  <si>
    <t>HG03704_mat_hprc_r2_v1.0.1.</t>
  </si>
  <si>
    <t>HG03704_pat_hprc_r2_v1.0.1.</t>
  </si>
  <si>
    <t>HG03710_mat_hprc_r2_v1.0.1.</t>
  </si>
  <si>
    <t>HG03710_pat_hprc_r2_v1.0.1.</t>
  </si>
  <si>
    <t>HG03742_hap1_hprc_r2_v1.0.1.</t>
  </si>
  <si>
    <t>HG03742_hap2_hprc_r2_v1.0.1.</t>
  </si>
  <si>
    <t>HG03784_hap1_hprc_r2_v1.0.1.</t>
  </si>
  <si>
    <t>HG03784_hap2_hprc_r2_v1.0.1.</t>
  </si>
  <si>
    <t>HG03804_mat_hprc_r2_v1.0.1.</t>
  </si>
  <si>
    <t>HG03804_pat_hprc_r2_v1.0.1.</t>
  </si>
  <si>
    <t>HG03816_mat_hprc_r2_v1.0.1.</t>
  </si>
  <si>
    <t>HG03816_pat_hprc_r2_v1.0.1.</t>
  </si>
  <si>
    <t>HG03831_mat_hprc_r2_v1.0.1.</t>
  </si>
  <si>
    <t>HG03831_pat_hprc_r2_v1.0.1.</t>
  </si>
  <si>
    <t>HG03834_mat_hprc_r2_v1.0.1.</t>
  </si>
  <si>
    <t>HG03834_pat_hprc_r2_v1.0.1.</t>
  </si>
  <si>
    <t>HG03874_hap1_hprc_r2_v1.0.1.</t>
  </si>
  <si>
    <t>HG03874_hap2_hprc_r2_v1.0.1.</t>
  </si>
  <si>
    <t>HG03927_mat_hprc_r2_v1.0.1.</t>
  </si>
  <si>
    <t>HG03927_pat_hprc_r2_v1.0.1.</t>
  </si>
  <si>
    <t>HG03942_mat_hprc_r2_v1.0.1.</t>
  </si>
  <si>
    <t>HG03942_pat_hprc_r2_v1.0.1.</t>
  </si>
  <si>
    <t>HG04115_mat_hprc_r2_v1.0.1.</t>
  </si>
  <si>
    <t>HG04115_pat_hprc_r2_v1.0.1.</t>
  </si>
  <si>
    <t>HG04157_mat_hprc_r2_v1.0.1.</t>
  </si>
  <si>
    <t>HG04157_pat_hprc_r2_v1.0.1.</t>
  </si>
  <si>
    <t>HG04160_mat_hprc_r2_v1.0.1.</t>
  </si>
  <si>
    <t>HG04160_pat_hprc_r2_v1.0.1.</t>
  </si>
  <si>
    <t>HG04184_mat_hprc_r2_v1.0.1.</t>
  </si>
  <si>
    <t>HG04184_pat_hprc_r2_v1.0.1.</t>
  </si>
  <si>
    <t>HG04187_mat_hprc_r2_v1.0.1.</t>
  </si>
  <si>
    <t>HG04187_pat_hprc_r2_v1.0.1.</t>
  </si>
  <si>
    <t>HG04199_mat_hprc_r2_v1.0.1.</t>
  </si>
  <si>
    <t>HG04199_pat_hprc_r2_v1.0.1.</t>
  </si>
  <si>
    <t>HG04204_mat_hprc_r2_v1.0.1.</t>
  </si>
  <si>
    <t>HG04204_pat_hprc_r2_v1.0.1.</t>
  </si>
  <si>
    <t>HG04228_mat_hprc_r2_v1.0.1.</t>
  </si>
  <si>
    <t>HG04228_pat_hprc_r2_v1.0.1.</t>
  </si>
  <si>
    <t>HG06807_mat_v1.0.genbank.</t>
  </si>
  <si>
    <t>HG06807_pat_v1.0.genbank.</t>
  </si>
  <si>
    <t>NA18505_hap1_hprc_r2_v1.0.1.</t>
  </si>
  <si>
    <t>NA18505_hap2_hprc_r2_v1.0.1.</t>
  </si>
  <si>
    <t>NA18508_hap1_hprc_r2_v1.0.1.</t>
  </si>
  <si>
    <t>NA18508_hap2_hprc_r2_v1.0.1.</t>
  </si>
  <si>
    <t>NA18522_hap1_hprc_r2_v1.0.1.</t>
  </si>
  <si>
    <t>NA18522_hap2_hprc_r2_v1.0.1.</t>
  </si>
  <si>
    <t>NA18565_hap1_hprc_r2_v1.0.1.</t>
  </si>
  <si>
    <t>NA18565_hap2_hprc_r2_v1.0.1.</t>
  </si>
  <si>
    <t>NA18570_hap1_hprc_r2_v1.0.1.</t>
  </si>
  <si>
    <t>NA18570_hap2_hprc_r2_v1.0.1.</t>
  </si>
  <si>
    <t>NA18608_hap1_hprc_r2_v1.0.1.</t>
  </si>
  <si>
    <t>NA18608_hap2_hprc_r2_v1.0.1.</t>
  </si>
  <si>
    <t>NA18620_hap1_hprc_r2_v1.0.1.</t>
  </si>
  <si>
    <t>NA18620_hap2_hprc_r2_v1.0.1.</t>
  </si>
  <si>
    <t>NA18747_hap1_hprc_r2_v1.0.1.</t>
  </si>
  <si>
    <t>NA18747_hap2_hprc_r2_v1.0.1.</t>
  </si>
  <si>
    <t>NA18879_hap1_hprc_r2_v1.0.1.</t>
  </si>
  <si>
    <t>NA18879_hap2_hprc_r2_v1.0.1.</t>
  </si>
  <si>
    <t>NA18906_mat_hprc_r2_v1.0.1.</t>
  </si>
  <si>
    <t>NA18906_pat_hprc_r2_v1.0.1.</t>
  </si>
  <si>
    <t>NA18940_hap1_hprc_r2_v1.0.1.</t>
  </si>
  <si>
    <t>NA18940_hap2_hprc_r2_v1.0.1.</t>
  </si>
  <si>
    <t>NA18943_hap1_hprc_r2_v1.0.1.</t>
  </si>
  <si>
    <t>NA18943_hap2_hprc_r2_v1.0.1.</t>
  </si>
  <si>
    <t>NA18944_hap1_hprc_r2_v1.0.1.</t>
  </si>
  <si>
    <t>NA18944_hap2_hprc_r2_v1.0.1.</t>
  </si>
  <si>
    <t>NA18945_hap1_hprc_r2_v1.0.1.</t>
  </si>
  <si>
    <t>NA18945_hap2_hprc_r2_v1.0.1.</t>
  </si>
  <si>
    <t>NA18948_hap1_hprc_r2_v1.0.1.</t>
  </si>
  <si>
    <t>NA18948_hap2_hprc_r2_v1.0.1.</t>
  </si>
  <si>
    <t>NA18952_hap1_hprc_r2_v1.0.1.</t>
  </si>
  <si>
    <t>NA18952_hap2_hprc_r2_v1.0.1.</t>
  </si>
  <si>
    <t>NA18959_hap1_hprc_r2_v1.0.1.</t>
  </si>
  <si>
    <t>NA18959_hap2_hprc_r2_v1.0.1.</t>
  </si>
  <si>
    <t>NA18960_hap1_hprc_r2_v1.0.1.</t>
  </si>
  <si>
    <t>NA18960_hap2_hprc_r2_v1.0.1.</t>
  </si>
  <si>
    <t>NA18967_hap1_hprc_r2_v1.0.1.</t>
  </si>
  <si>
    <t>NA18967_hap2_hprc_r2_v1.0.1.</t>
  </si>
  <si>
    <t>NA18970_hap1_hprc_r2_v1.0.1.</t>
  </si>
  <si>
    <t>NA18970_hap2_hprc_r2_v1.0.1.</t>
  </si>
  <si>
    <t>NA18971_hap1_hprc_r2_v1.0.1.</t>
  </si>
  <si>
    <t>NA18971_hap2_hprc_r2_v1.0.1.</t>
  </si>
  <si>
    <t>NA18974_hap1_hprc_r2_v1.0.1.</t>
  </si>
  <si>
    <t>NA18974_hap2_hprc_r2_v1.0.1.</t>
  </si>
  <si>
    <t>NA18976_hap1_hprc_r2_v1.0.1.</t>
  </si>
  <si>
    <t>NA18976_hap2_hprc_r2_v1.0.1.</t>
  </si>
  <si>
    <t>NA18982_hap1_hprc_r2_v1.0.1.</t>
  </si>
  <si>
    <t>NA18982_hap2_hprc_r2_v1.0.1.</t>
  </si>
  <si>
    <t>NA18983_hap1_hprc_r2_v1.0.1.</t>
  </si>
  <si>
    <t>NA18983_hap2_hprc_r2_v1.0.1.</t>
  </si>
  <si>
    <t>NA19036_hap1_hprc_r2_v1.0.1.</t>
  </si>
  <si>
    <t>NA19036_hap2_hprc_r2_v1.0.1.</t>
  </si>
  <si>
    <t>NA19043_hap1_hprc_r2_v1.0.1.</t>
  </si>
  <si>
    <t>NA19043_hap2_hprc_r2_v1.0.1.</t>
  </si>
  <si>
    <t>NA19087_hap1_hprc_r2_v1.0.1.</t>
  </si>
  <si>
    <t>NA19087_hap2_hprc_r2_v1.0.1.</t>
  </si>
  <si>
    <t>NA19159_hap1_hprc_r2_v1.0.1.</t>
  </si>
  <si>
    <t>NA19159_hap2_hprc_r2_v1.0.1.</t>
  </si>
  <si>
    <t>NA19185_hap1_hprc_r2_v1.0.1.</t>
  </si>
  <si>
    <t>NA19185_hap2_hprc_r2_v1.0.1.</t>
  </si>
  <si>
    <t>NA19240_mat_hprc_r2_v1.0.1.</t>
  </si>
  <si>
    <t>NA19240_pat_hprc_r2_v1.0.1.</t>
  </si>
  <si>
    <t>NA19338_hap1_hprc_r2_v1.0.1.</t>
  </si>
  <si>
    <t>NA19338_hap2_hprc_r2_v1.0.1.</t>
  </si>
  <si>
    <t>NA19391_hap1_hprc_r2_v1.0.1.</t>
  </si>
  <si>
    <t>NA19391_hap2_hprc_r2_v1.0.1.</t>
  </si>
  <si>
    <t>NA19443_hap1_hprc_r2_v1.0.1.</t>
  </si>
  <si>
    <t>NA19443_hap2_hprc_r2_v1.0.1.</t>
  </si>
  <si>
    <t>NA19468_hap1_hprc_r2_v1.0.1.</t>
  </si>
  <si>
    <t>NA19468_hap2_hprc_r2_v1.0.1.</t>
  </si>
  <si>
    <t>NA19682_hap1_hprc_r2_v1.0.1.</t>
  </si>
  <si>
    <t>NA19682_hap2_hprc_r2_v1.0.1.</t>
  </si>
  <si>
    <t>NA19700_hap1_hprc_r2_v1.0.1.</t>
  </si>
  <si>
    <t>NA19700_hap2_hprc_r2_v1.0.1.</t>
  </si>
  <si>
    <t>NA19776_hap1_hprc_r2_v1.0.1.</t>
  </si>
  <si>
    <t>NA19776_hap2_hprc_r2_v1.0.1.</t>
  </si>
  <si>
    <t>NA19835_hap1_hprc_r2_v1.0.1.</t>
  </si>
  <si>
    <t>NA19835_hap2_hprc_r2_v1.0.1.</t>
  </si>
  <si>
    <t>NA19909_hap1_hprc_r2_v1.0.1.</t>
  </si>
  <si>
    <t>NA19909_hap2_hprc_r2_v1.0.1.</t>
  </si>
  <si>
    <t>NA20129_mat_hprc_r2_v1.0.1.</t>
  </si>
  <si>
    <t>NA20129_pat_hprc_r2_v1.0.1.</t>
  </si>
  <si>
    <t>NA20282_hap1_hprc_r2_v1.0.1.</t>
  </si>
  <si>
    <t>NA20282_hap2_hprc_r2_v1.0.1.</t>
  </si>
  <si>
    <t>NA20346_hap1_hprc_r2_v1.0.1.</t>
  </si>
  <si>
    <t>NA20346_hap2_hprc_r2_v1.0.1.</t>
  </si>
  <si>
    <t>NA20503_hap1_hprc_r2_v1.0.1.</t>
  </si>
  <si>
    <t>NA20503_hap2_hprc_r2_v1.0.1.</t>
  </si>
  <si>
    <t>NA20752_hap1_hprc_r2_v1.0.1.</t>
  </si>
  <si>
    <t>NA20752_hap2_hprc_r2_v1.0.1.</t>
  </si>
  <si>
    <t>NA20762_hap1_hprc_r2_v1.0.1.</t>
  </si>
  <si>
    <t>NA20762_hap2_hprc_r2_v1.0.1.</t>
  </si>
  <si>
    <t>NA20799_hap1_hprc_r2_v1.0.1.</t>
  </si>
  <si>
    <t>NA20799_hap2_hprc_r2_v1.0.1.</t>
  </si>
  <si>
    <t>NA20805_hap1_hprc_r2_v1.0.1.</t>
  </si>
  <si>
    <t>NA20805_hap2_hprc_r2_v1.0.1.</t>
  </si>
  <si>
    <t>NA20806_hap1_hprc_r2_v1.0.1.</t>
  </si>
  <si>
    <t>NA20806_hap2_hprc_r2_v1.0.1.</t>
  </si>
  <si>
    <t>NA20809_hap1_hprc_r2_v1.0.1.</t>
  </si>
  <si>
    <t>NA20809_hap2_hprc_r2_v1.0.1.</t>
  </si>
  <si>
    <t>NA20827_hap1_hprc_r2_v1.0.1.</t>
  </si>
  <si>
    <t>NA20827_hap2_hprc_r2_v1.0.1.</t>
  </si>
  <si>
    <t>NA20850_hap1_hprc_r2_v1.0.1.</t>
  </si>
  <si>
    <t>NA20850_hap2_hprc_r2_v1.0.1.</t>
  </si>
  <si>
    <t>NA20870_hap1_hprc_r2_v1.0.1.</t>
  </si>
  <si>
    <t>NA20870_hap2_hprc_r2_v1.0.1.</t>
  </si>
  <si>
    <t>NA20905_hap1_hprc_r2_v1.0.1.</t>
  </si>
  <si>
    <t>NA20905_hap2_hprc_r2_v1.0.1.</t>
  </si>
  <si>
    <t>NA21093_hap1_hprc_r2_v1.0.1.</t>
  </si>
  <si>
    <t>NA21093_hap2_hprc_r2_v1.0.1.</t>
  </si>
  <si>
    <t>NA21102_hap1_hprc_r2_v1.0.1.</t>
  </si>
  <si>
    <t>NA21102_hap2_hprc_r2_v1.0.1.</t>
  </si>
  <si>
    <t>NA21106_hap1_hprc_r2_v1.0.1.</t>
  </si>
  <si>
    <t>NA21106_hap2_hprc_r2_v1.0.1.</t>
  </si>
  <si>
    <t>NA21110_hap1_hprc_r2_v1.0.1.</t>
  </si>
  <si>
    <t>NA21110_hap2_hprc_r2_v1.0.1.</t>
  </si>
  <si>
    <t>NA21144_hap1_hprc_r2_v1.0.1.</t>
  </si>
  <si>
    <t>NA21144_hap2_hprc_r2_v1.0.1.</t>
  </si>
  <si>
    <t>NA21309_mat_hprc_r2_v1.0.1.</t>
  </si>
  <si>
    <t>NA21309_pat_hprc_r2_v1.0.1.</t>
  </si>
  <si>
    <t>hg002v1.1.mat_MT.PanSN.</t>
  </si>
  <si>
    <t>hg002v1.1.pat.PanSN.</t>
  </si>
  <si>
    <t>Chinese yellow rabbit</t>
  </si>
  <si>
    <t>Yarkand hare</t>
  </si>
  <si>
    <t>GCA_051225735.1</t>
  </si>
  <si>
    <t>LepYark_1.0</t>
  </si>
  <si>
    <t>OryCun3.0</t>
  </si>
  <si>
    <t>Rabbit</t>
  </si>
  <si>
    <t>mOryCun1.1</t>
  </si>
  <si>
    <t>GCA_047496845.1_LepYark_1.0_genomic__AMPH__STARD3NL__CM105099.1__extracted__TRG</t>
  </si>
  <si>
    <t>GCA_047496845.1_LepYark_1.0_genomic__MGAM__EPHB6__CM105080.1__extracted__TRB</t>
  </si>
  <si>
    <t>GCA_047496845.1_LepYark_1.0_genomic__RPIA__PAX8__CM105094.1__extracted__IGK</t>
  </si>
  <si>
    <t>GCA_047496845.1_LepYark_1.0_genomic__SALL2__DAD1__CM105092.1__extracted__TRA</t>
  </si>
  <si>
    <t>GCA_047496845.1_LepYark_1.0_genomic__SLC5A4__AIFM3__CM105103.1__extracted__IGL</t>
  </si>
  <si>
    <t>GCA_047496845.1_LepYark_1.0_genomic__TMEM121__-__CM105101.1__extracted__IGH</t>
  </si>
  <si>
    <t>GCA_051225735.1_ASM5122573v1_genomic__AMPH__STARD3NL__CM119115.1__extracted__TRG</t>
  </si>
  <si>
    <t>GCA_051225735.1_ASM5122573v1_genomic__MGAM__EPHB6__CM119102.1__extracted__TRB</t>
  </si>
  <si>
    <t>GCA_051225735.1_ASM5122573v1_genomic__RPIA__PAX8__CM119101.1__extracted__IGK</t>
  </si>
  <si>
    <t>GCA_051225735.1_ASM5122573v1_genomic__SALL2__DAD1__CM119111.1__extracted__TRA</t>
  </si>
  <si>
    <t>GCA_051225735.1_ASM5122573v1_genomic__SLC5A4__AIFM3__CM119120.1__extracted__IGL</t>
  </si>
  <si>
    <t>GCA_051225735.1_ASM5122573v1_genomic__TMEM121__-__CM119119.1__extracted__IGH</t>
  </si>
  <si>
    <t>GCA_013371645.1_OryCun3.0_genomic__AMPH__STARD3NL__CM023781.1__extracted__TRG.fasta</t>
  </si>
  <si>
    <t>GCA_013371645.1_OryCun3.0_genomic__MGAM__EPHB6__CM023778.1__extracted__TRB.fasta</t>
  </si>
  <si>
    <t>GCA_013371645.1_OryCun3.0_genomic__RPIA__PAX8__CM023773.1__extracted__IGK.fasta</t>
  </si>
  <si>
    <t>GCA_013371645.1_OryCun3.0_genomic__SALL2__DAD1__CM023788.1__extracted__TRA.fasta</t>
  </si>
  <si>
    <t>GCA_013371645.1_OryCun3.0_genomic__SLC5A4__AIFM3__CM023792.1__extracted__IGL.fasta</t>
  </si>
  <si>
    <t>GCA_013371645.1_OryCun3.0_genomic__TMEM121__-__CM023791.1__extracted__IGH.fasta</t>
  </si>
  <si>
    <t>GCF_964237555.1_mOryCun1.1_genomic__AMPH__STARD3NL__NC_091447.1__extracted__TRG.fasta</t>
  </si>
  <si>
    <t>GCF_964237555.1_mOryCun1.1_genomic__MGAM__EPHB6__NC_091434.1__extracted__TRB.fasta</t>
  </si>
  <si>
    <t>GCF_964237555.1_mOryCun1.1_genomic__RPIA__PAX8__NC_091433.1__extracted__IGK.fasta</t>
  </si>
  <si>
    <t>GCF_964237555.1_mOryCun1.1_genomic__SALL2__DAD1__NC_091443.1__extracted__TRA.fasta</t>
  </si>
  <si>
    <t>GCF_964237555.1_mOryCun1.1_genomic__SLC5A4__AIFM3__NC_091452.1__extracted__IGL.fasta</t>
  </si>
  <si>
    <t>GCF_964237555.1_mOryCun1.1_genomic__TMEM121__-__NC_091451.1__extracted__IGH.fasta</t>
  </si>
  <si>
    <t>Wild rabbit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</si>
</sst>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0" fillId="0" borderId="0" xfId="0" applyNumberForma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3"/>
  <sheetViews>
    <sheetView showGridLines="0" tabSelected="1" topLeftCell="A2" zoomScale="134" workbookViewId="0">
      <selection activeCell="B15" sqref="B15"/>
    </sheetView>
  </sheetViews>
  <sheetFormatPr baseColWidth="10" defaultColWidth="8.33203125" defaultRowHeight="20" customHeight="1" x14ac:dyDescent="0.15"/>
  <cols>
    <col min="1" max="1" width="20.1640625" style="2" customWidth="1"/>
    <col min="2" max="2" width="48.6640625" style="2" customWidth="1"/>
    <col min="3" max="3" width="27" style="2" customWidth="1"/>
    <col min="4" max="6" width="8.33203125" style="1"/>
    <col min="8" max="16384" width="8.33203125" style="1"/>
  </cols>
  <sheetData>
    <row r="1" spans="1:3" ht="20.25" customHeight="1" x14ac:dyDescent="0.15">
      <c r="A1" s="3" t="s">
        <v>3</v>
      </c>
      <c r="B1" s="2" t="s">
        <v>2</v>
      </c>
      <c r="C1" s="2" t="s">
        <v>1</v>
      </c>
    </row>
    <row r="2" spans="1:3" ht="20.25" customHeight="1" x14ac:dyDescent="0.15">
      <c r="A2" s="3" t="s">
        <v>479</v>
      </c>
      <c r="B2" s="2" t="s">
        <v>483</v>
      </c>
      <c r="C2" s="3" t="s">
        <v>477</v>
      </c>
    </row>
    <row r="3" spans="1:3" ht="20" customHeight="1" x14ac:dyDescent="0.15">
      <c r="A3" s="3" t="s">
        <v>479</v>
      </c>
      <c r="B3" s="2" t="s">
        <v>484</v>
      </c>
      <c r="C3" s="3" t="s">
        <v>477</v>
      </c>
    </row>
    <row r="4" spans="1:3" ht="20" customHeight="1" x14ac:dyDescent="0.15">
      <c r="A4" s="3" t="s">
        <v>479</v>
      </c>
      <c r="B4" s="2" t="s">
        <v>485</v>
      </c>
      <c r="C4" s="3" t="s">
        <v>477</v>
      </c>
    </row>
    <row r="5" spans="1:3" ht="20" customHeight="1" x14ac:dyDescent="0.15">
      <c r="A5" s="3" t="s">
        <v>479</v>
      </c>
      <c r="B5" s="2" t="s">
        <v>486</v>
      </c>
      <c r="C5" s="3" t="s">
        <v>477</v>
      </c>
    </row>
    <row r="6" spans="1:3" ht="20" customHeight="1" x14ac:dyDescent="0.15">
      <c r="A6" s="3" t="s">
        <v>479</v>
      </c>
      <c r="B6" s="2" t="s">
        <v>487</v>
      </c>
      <c r="C6" s="3" t="s">
        <v>477</v>
      </c>
    </row>
    <row r="7" spans="1:3" ht="20" customHeight="1" x14ac:dyDescent="0.15">
      <c r="A7" s="3" t="s">
        <v>479</v>
      </c>
      <c r="B7" s="2" t="s">
        <v>488</v>
      </c>
      <c r="C7" s="3" t="s">
        <v>477</v>
      </c>
    </row>
    <row r="8" spans="1:3" ht="20" customHeight="1" x14ac:dyDescent="0.15">
      <c r="A8" s="3" t="s">
        <v>478</v>
      </c>
      <c r="B8" s="2" t="s">
        <v>489</v>
      </c>
      <c r="C8" s="3" t="s">
        <v>476</v>
      </c>
    </row>
    <row r="9" spans="1:3" ht="20" customHeight="1" x14ac:dyDescent="0.15">
      <c r="A9" s="3" t="s">
        <v>478</v>
      </c>
      <c r="B9" s="2" t="s">
        <v>490</v>
      </c>
      <c r="C9" s="3" t="s">
        <v>476</v>
      </c>
    </row>
    <row r="10" spans="1:3" ht="20" customHeight="1" x14ac:dyDescent="0.15">
      <c r="A10" s="3" t="s">
        <v>478</v>
      </c>
      <c r="B10" s="2" t="s">
        <v>491</v>
      </c>
      <c r="C10" s="3" t="s">
        <v>476</v>
      </c>
    </row>
    <row r="11" spans="1:3" ht="20" customHeight="1" x14ac:dyDescent="0.15">
      <c r="A11" s="3" t="s">
        <v>478</v>
      </c>
      <c r="B11" s="2" t="s">
        <v>492</v>
      </c>
      <c r="C11" s="3" t="s">
        <v>476</v>
      </c>
    </row>
    <row r="12" spans="1:3" ht="20" customHeight="1" x14ac:dyDescent="0.15">
      <c r="A12" s="3" t="s">
        <v>478</v>
      </c>
      <c r="B12" s="2" t="s">
        <v>493</v>
      </c>
      <c r="C12" s="3" t="s">
        <v>476</v>
      </c>
    </row>
    <row r="13" spans="1:3" ht="20" customHeight="1" x14ac:dyDescent="0.15">
      <c r="A13" s="3" t="s">
        <v>478</v>
      </c>
      <c r="B13" s="2" t="s">
        <v>494</v>
      </c>
      <c r="C13" s="3" t="s">
        <v>476</v>
      </c>
    </row>
    <row r="14" spans="1:3" ht="20" customHeight="1" x14ac:dyDescent="0.15">
      <c r="A14" s="3" t="s">
        <v>480</v>
      </c>
      <c r="B14" s="2" t="s">
        <v>495</v>
      </c>
      <c r="C14" s="3" t="s">
        <v>481</v>
      </c>
    </row>
    <row r="15" spans="1:3" ht="20" customHeight="1" x14ac:dyDescent="0.15">
      <c r="A15" s="3" t="s">
        <v>480</v>
      </c>
      <c r="B15" s="2" t="s">
        <v>496</v>
      </c>
      <c r="C15" s="3" t="s">
        <v>481</v>
      </c>
    </row>
    <row r="16" spans="1:3" ht="20" customHeight="1" x14ac:dyDescent="0.15">
      <c r="A16" s="3" t="s">
        <v>480</v>
      </c>
      <c r="B16" s="2" t="s">
        <v>497</v>
      </c>
      <c r="C16" s="3" t="s">
        <v>481</v>
      </c>
    </row>
    <row r="17" spans="1:3" ht="20" customHeight="1" x14ac:dyDescent="0.15">
      <c r="A17" s="3" t="s">
        <v>480</v>
      </c>
      <c r="B17" s="2" t="s">
        <v>498</v>
      </c>
      <c r="C17" s="3" t="s">
        <v>481</v>
      </c>
    </row>
    <row r="18" spans="1:3" ht="20" customHeight="1" x14ac:dyDescent="0.15">
      <c r="A18" s="3" t="s">
        <v>480</v>
      </c>
      <c r="B18" s="2" t="s">
        <v>499</v>
      </c>
      <c r="C18" s="3" t="s">
        <v>481</v>
      </c>
    </row>
    <row r="19" spans="1:3" ht="20" customHeight="1" x14ac:dyDescent="0.15">
      <c r="A19" s="3" t="s">
        <v>480</v>
      </c>
      <c r="B19" s="2" t="s">
        <v>500</v>
      </c>
      <c r="C19" s="3" t="s">
        <v>481</v>
      </c>
    </row>
    <row r="20" spans="1:3" ht="20" customHeight="1" x14ac:dyDescent="0.15">
      <c r="A20" s="3" t="s">
        <v>482</v>
      </c>
      <c r="B20" s="2" t="s">
        <v>501</v>
      </c>
      <c r="C20" s="3" t="s">
        <v>507</v>
      </c>
    </row>
    <row r="21" spans="1:3" ht="20" customHeight="1" x14ac:dyDescent="0.15">
      <c r="A21" s="3" t="s">
        <v>482</v>
      </c>
      <c r="B21" s="2" t="s">
        <v>502</v>
      </c>
      <c r="C21" s="3" t="s">
        <v>507</v>
      </c>
    </row>
    <row r="22" spans="1:3" ht="20" customHeight="1" x14ac:dyDescent="0.15">
      <c r="A22" s="3" t="s">
        <v>482</v>
      </c>
      <c r="B22" s="2" t="s">
        <v>503</v>
      </c>
      <c r="C22" s="3" t="s">
        <v>507</v>
      </c>
    </row>
    <row r="23" spans="1:3" ht="20" customHeight="1" x14ac:dyDescent="0.15">
      <c r="A23" s="3" t="s">
        <v>482</v>
      </c>
      <c r="B23" s="2" t="s">
        <v>504</v>
      </c>
      <c r="C23" s="3" t="s">
        <v>507</v>
      </c>
    </row>
    <row r="24" spans="1:3" ht="20" customHeight="1" x14ac:dyDescent="0.15">
      <c r="A24" s="3" t="s">
        <v>482</v>
      </c>
      <c r="B24" s="2" t="s">
        <v>505</v>
      </c>
      <c r="C24" s="3" t="s">
        <v>507</v>
      </c>
    </row>
    <row r="25" spans="1:3" ht="20" customHeight="1" x14ac:dyDescent="0.15">
      <c r="A25" s="3" t="s">
        <v>482</v>
      </c>
      <c r="B25" s="2" t="s">
        <v>506</v>
      </c>
      <c r="C25" s="3" t="s">
        <v>507</v>
      </c>
    </row>
    <row r="26" spans="1:3" ht="20" customHeight="1" x14ac:dyDescent="0.15">
      <c r="C26" s="3"/>
    </row>
    <row r="27" spans="1:3" ht="20" customHeight="1" x14ac:dyDescent="0.15">
      <c r="C27" s="3"/>
    </row>
    <row r="28" spans="1:3" ht="20" customHeight="1" x14ac:dyDescent="0.15">
      <c r="C28" s="3"/>
    </row>
    <row r="29" spans="1:3" ht="20" customHeight="1" x14ac:dyDescent="0.15">
      <c r="C29" s="3"/>
    </row>
    <row r="30" spans="1:3" ht="20" customHeight="1" x14ac:dyDescent="0.15">
      <c r="C30" s="3"/>
    </row>
    <row r="31" spans="1:3" ht="20" customHeight="1" x14ac:dyDescent="0.15">
      <c r="C31" s="3"/>
    </row>
    <row r="32" spans="1:3" ht="20" customHeight="1" x14ac:dyDescent="0.15">
      <c r="C32" s="3"/>
    </row>
    <row r="33" spans="3:3" ht="20" customHeight="1" x14ac:dyDescent="0.15">
      <c r="C33" s="3"/>
    </row>
    <row r="34" spans="3:3" ht="20" customHeight="1" x14ac:dyDescent="0.15">
      <c r="C34" s="3"/>
    </row>
    <row r="35" spans="3:3" ht="20" customHeight="1" x14ac:dyDescent="0.15">
      <c r="C35" s="3"/>
    </row>
    <row r="36" spans="3:3" ht="20" customHeight="1" x14ac:dyDescent="0.15">
      <c r="C36" s="3"/>
    </row>
    <row r="37" spans="3:3" ht="20" customHeight="1" x14ac:dyDescent="0.15">
      <c r="C37" s="3"/>
    </row>
    <row r="38" spans="3:3" ht="20" customHeight="1" x14ac:dyDescent="0.15">
      <c r="C38" s="3"/>
    </row>
    <row r="39" spans="3:3" ht="20" customHeight="1" x14ac:dyDescent="0.15">
      <c r="C39" s="3"/>
    </row>
    <row r="40" spans="3:3" ht="20" customHeight="1" x14ac:dyDescent="0.15">
      <c r="C40" s="3"/>
    </row>
    <row r="41" spans="3:3" ht="20" customHeight="1" x14ac:dyDescent="0.15">
      <c r="C41" s="3"/>
    </row>
    <row r="42" spans="3:3" ht="20" customHeight="1" x14ac:dyDescent="0.15">
      <c r="C42" s="3"/>
    </row>
    <row r="43" spans="3:3" ht="20" customHeight="1" x14ac:dyDescent="0.15">
      <c r="C43" s="3"/>
    </row>
    <row r="44" spans="3:3" ht="20" customHeight="1" x14ac:dyDescent="0.15">
      <c r="C44" s="3"/>
    </row>
    <row r="45" spans="3:3" ht="20" customHeight="1" x14ac:dyDescent="0.15">
      <c r="C45" s="3"/>
    </row>
    <row r="46" spans="3:3" ht="20" customHeight="1" x14ac:dyDescent="0.15">
      <c r="C46" s="3"/>
    </row>
    <row r="47" spans="3:3" ht="20" customHeight="1" x14ac:dyDescent="0.15">
      <c r="C47" s="3"/>
    </row>
    <row r="48" spans="3:3" ht="20" customHeight="1" x14ac:dyDescent="0.15">
      <c r="C48" s="3"/>
    </row>
    <row r="49" spans="3:3" ht="20" customHeight="1" x14ac:dyDescent="0.15">
      <c r="C49" s="3"/>
    </row>
    <row r="50" spans="3:3" ht="20" customHeight="1" x14ac:dyDescent="0.15">
      <c r="C50" s="3"/>
    </row>
    <row r="51" spans="3:3" ht="20" customHeight="1" x14ac:dyDescent="0.15">
      <c r="C51" s="3"/>
    </row>
    <row r="52" spans="3:3" ht="20" customHeight="1" x14ac:dyDescent="0.15">
      <c r="C52" s="3"/>
    </row>
    <row r="53" spans="3:3" ht="20" customHeight="1" x14ac:dyDescent="0.15">
      <c r="C53" s="3"/>
    </row>
    <row r="58" spans="3:3" ht="20" customHeight="1" x14ac:dyDescent="0.15">
      <c r="C58" s="3"/>
    </row>
    <row r="59" spans="3:3" ht="20" customHeight="1" x14ac:dyDescent="0.15">
      <c r="C59" s="3"/>
    </row>
    <row r="60" spans="3:3" ht="20" customHeight="1" x14ac:dyDescent="0.15">
      <c r="C60" s="3"/>
    </row>
    <row r="61" spans="3:3" ht="20" customHeight="1" x14ac:dyDescent="0.15">
      <c r="C61" s="3"/>
    </row>
    <row r="62" spans="3:3" ht="20" customHeight="1" x14ac:dyDescent="0.15">
      <c r="C62" s="3"/>
    </row>
    <row r="63" spans="3:3" ht="20" customHeight="1" x14ac:dyDescent="0.15">
      <c r="C63" s="3"/>
    </row>
    <row r="64" spans="3:3" ht="20" customHeight="1" x14ac:dyDescent="0.15">
      <c r="C64" s="3"/>
    </row>
    <row r="65" spans="3:3" ht="20" customHeight="1" x14ac:dyDescent="0.15">
      <c r="C65" s="3"/>
    </row>
    <row r="66" spans="3:3" ht="20" customHeight="1" x14ac:dyDescent="0.15">
      <c r="C66" s="3"/>
    </row>
    <row r="67" spans="3:3" ht="20" customHeight="1" x14ac:dyDescent="0.15">
      <c r="C67" s="3"/>
    </row>
    <row r="68" spans="3:3" ht="20" customHeight="1" x14ac:dyDescent="0.15">
      <c r="C68" s="3"/>
    </row>
    <row r="69" spans="3:3" ht="20" customHeight="1" x14ac:dyDescent="0.15">
      <c r="C69" s="3"/>
    </row>
    <row r="70" spans="3:3" ht="20" customHeight="1" x14ac:dyDescent="0.15">
      <c r="C70" s="3"/>
    </row>
    <row r="71" spans="3:3" ht="20" customHeight="1" x14ac:dyDescent="0.15">
      <c r="C71" s="3"/>
    </row>
    <row r="72" spans="3:3" ht="20" customHeight="1" x14ac:dyDescent="0.15">
      <c r="C72" s="3"/>
    </row>
    <row r="73" spans="3:3" ht="20" customHeight="1" x14ac:dyDescent="0.15">
      <c r="C73" s="3"/>
    </row>
    <row r="74" spans="3:3" ht="20" customHeight="1" x14ac:dyDescent="0.15">
      <c r="C74" s="3"/>
    </row>
    <row r="75" spans="3:3" ht="20" customHeight="1" x14ac:dyDescent="0.15">
      <c r="C75" s="3"/>
    </row>
    <row r="76" spans="3:3" ht="20" customHeight="1" x14ac:dyDescent="0.15">
      <c r="C76" s="3"/>
    </row>
    <row r="77" spans="3:3" ht="20" customHeight="1" x14ac:dyDescent="0.15">
      <c r="C77" s="3"/>
    </row>
    <row r="78" spans="3:3" ht="20" customHeight="1" x14ac:dyDescent="0.15">
      <c r="C78" s="3"/>
    </row>
    <row r="79" spans="3:3" ht="20" customHeight="1" x14ac:dyDescent="0.15">
      <c r="C79" s="3"/>
    </row>
    <row r="80" spans="3:3" ht="20" customHeight="1" x14ac:dyDescent="0.15">
      <c r="C80" s="3"/>
    </row>
    <row r="81" spans="3:3" ht="20" customHeight="1" x14ac:dyDescent="0.15">
      <c r="C81" s="3"/>
    </row>
    <row r="82" spans="3:3" ht="20" customHeight="1" x14ac:dyDescent="0.15">
      <c r="C82" s="3"/>
    </row>
    <row r="83" spans="3:3" ht="20" customHeight="1" x14ac:dyDescent="0.15">
      <c r="C83" s="3"/>
    </row>
    <row r="84" spans="3:3" ht="20" customHeight="1" x14ac:dyDescent="0.15">
      <c r="C84" s="3"/>
    </row>
    <row r="85" spans="3:3" ht="20" customHeight="1" x14ac:dyDescent="0.15">
      <c r="C85" s="3"/>
    </row>
    <row r="86" spans="3:3" ht="20" customHeight="1" x14ac:dyDescent="0.15">
      <c r="C86" s="3"/>
    </row>
    <row r="87" spans="3:3" ht="20" customHeight="1" x14ac:dyDescent="0.15">
      <c r="C87" s="3"/>
    </row>
    <row r="88" spans="3:3" ht="20" customHeight="1" x14ac:dyDescent="0.15">
      <c r="C88" s="3"/>
    </row>
    <row r="89" spans="3:3" ht="20" customHeight="1" x14ac:dyDescent="0.15">
      <c r="C89" s="3"/>
    </row>
    <row r="90" spans="3:3" ht="20" customHeight="1" x14ac:dyDescent="0.15">
      <c r="C90" s="3"/>
    </row>
    <row r="91" spans="3:3" ht="20" customHeight="1" x14ac:dyDescent="0.15">
      <c r="C91" s="3"/>
    </row>
    <row r="92" spans="3:3" ht="20" customHeight="1" x14ac:dyDescent="0.15">
      <c r="C92" s="3"/>
    </row>
    <row r="93" spans="3:3" ht="20" customHeight="1" x14ac:dyDescent="0.15">
      <c r="C93" s="3"/>
    </row>
    <row r="94" spans="3:3" ht="20" customHeight="1" x14ac:dyDescent="0.15">
      <c r="C94" s="3"/>
    </row>
    <row r="95" spans="3:3" ht="20" customHeight="1" x14ac:dyDescent="0.15">
      <c r="C95" s="3"/>
    </row>
    <row r="96" spans="3:3" ht="20" customHeight="1" x14ac:dyDescent="0.15">
      <c r="C96" s="3"/>
    </row>
    <row r="97" spans="3:3" ht="20" customHeight="1" x14ac:dyDescent="0.15">
      <c r="C97" s="3"/>
    </row>
    <row r="98" spans="3:3" ht="20" customHeight="1" x14ac:dyDescent="0.15">
      <c r="C98" s="3"/>
    </row>
    <row r="99" spans="3:3" ht="20" customHeight="1" x14ac:dyDescent="0.15">
      <c r="C99" s="3"/>
    </row>
    <row r="100" spans="3:3" ht="20" customHeight="1" x14ac:dyDescent="0.15">
      <c r="C100" s="3"/>
    </row>
    <row r="101" spans="3:3" ht="20" customHeight="1" x14ac:dyDescent="0.15">
      <c r="C101" s="3"/>
    </row>
    <row r="102" spans="3:3" ht="20" customHeight="1" x14ac:dyDescent="0.15">
      <c r="C102" s="3"/>
    </row>
    <row r="103" spans="3:3" ht="20" customHeight="1" x14ac:dyDescent="0.15">
      <c r="C103" s="3"/>
    </row>
    <row r="104" spans="3:3" ht="20" customHeight="1" x14ac:dyDescent="0.15">
      <c r="C104" s="3"/>
    </row>
    <row r="105" spans="3:3" ht="20" customHeight="1" x14ac:dyDescent="0.15">
      <c r="C105" s="3"/>
    </row>
    <row r="106" spans="3:3" ht="20" customHeight="1" x14ac:dyDescent="0.15">
      <c r="C106" s="3"/>
    </row>
    <row r="107" spans="3:3" ht="20" customHeight="1" x14ac:dyDescent="0.15">
      <c r="C107" s="3"/>
    </row>
    <row r="108" spans="3:3" ht="20" customHeight="1" x14ac:dyDescent="0.15">
      <c r="C108" s="3"/>
    </row>
    <row r="109" spans="3:3" ht="20" customHeight="1" x14ac:dyDescent="0.15">
      <c r="C109" s="3"/>
    </row>
    <row r="110" spans="3:3" ht="20" customHeight="1" x14ac:dyDescent="0.15">
      <c r="C110" s="3"/>
    </row>
    <row r="111" spans="3:3" ht="20" customHeight="1" x14ac:dyDescent="0.15">
      <c r="C111" s="3"/>
    </row>
    <row r="112" spans="3:3" ht="20" customHeight="1" x14ac:dyDescent="0.15">
      <c r="C112" s="3"/>
    </row>
    <row r="113" spans="3:3" ht="20" customHeight="1" x14ac:dyDescent="0.15">
      <c r="C113" s="3"/>
    </row>
    <row r="114" spans="3:3" ht="20" customHeight="1" x14ac:dyDescent="0.15">
      <c r="C114" s="3"/>
    </row>
    <row r="115" spans="3:3" ht="20" customHeight="1" x14ac:dyDescent="0.15">
      <c r="C115" s="3"/>
    </row>
    <row r="116" spans="3:3" ht="20" customHeight="1" x14ac:dyDescent="0.15">
      <c r="C116" s="3"/>
    </row>
    <row r="117" spans="3:3" ht="20" customHeight="1" x14ac:dyDescent="0.15">
      <c r="C117" s="3"/>
    </row>
    <row r="118" spans="3:3" ht="20" customHeight="1" x14ac:dyDescent="0.15">
      <c r="C118" s="3"/>
    </row>
    <row r="119" spans="3:3" ht="20" customHeight="1" x14ac:dyDescent="0.15">
      <c r="C119" s="3"/>
    </row>
    <row r="120" spans="3:3" ht="20" customHeight="1" x14ac:dyDescent="0.15">
      <c r="C120" s="3"/>
    </row>
    <row r="121" spans="3:3" ht="20" customHeight="1" x14ac:dyDescent="0.15">
      <c r="C121" s="3"/>
    </row>
    <row r="122" spans="3:3" ht="20" customHeight="1" x14ac:dyDescent="0.15">
      <c r="C122" s="3"/>
    </row>
    <row r="123" spans="3:3" ht="20" customHeight="1" x14ac:dyDescent="0.15">
      <c r="C123" s="3"/>
    </row>
    <row r="124" spans="3:3" ht="20" customHeight="1" x14ac:dyDescent="0.15">
      <c r="C124" s="3"/>
    </row>
    <row r="125" spans="3:3" ht="20" customHeight="1" x14ac:dyDescent="0.15">
      <c r="C125" s="3"/>
    </row>
    <row r="126" spans="3:3" ht="20" customHeight="1" x14ac:dyDescent="0.15">
      <c r="C126" s="3"/>
    </row>
    <row r="127" spans="3:3" ht="20" customHeight="1" x14ac:dyDescent="0.15">
      <c r="C127" s="3"/>
    </row>
    <row r="128" spans="3:3" ht="20" customHeight="1" x14ac:dyDescent="0.15">
      <c r="C128" s="3"/>
    </row>
    <row r="129" spans="3:3" ht="20" customHeight="1" x14ac:dyDescent="0.15">
      <c r="C129" s="3"/>
    </row>
    <row r="130" spans="3:3" ht="20" customHeight="1" x14ac:dyDescent="0.15">
      <c r="C130" s="3"/>
    </row>
    <row r="131" spans="3:3" ht="20" customHeight="1" x14ac:dyDescent="0.15">
      <c r="C131" s="3"/>
    </row>
    <row r="132" spans="3:3" ht="20" customHeight="1" x14ac:dyDescent="0.15">
      <c r="C132" s="3"/>
    </row>
    <row r="133" spans="3:3" ht="20" customHeight="1" x14ac:dyDescent="0.15">
      <c r="C133" s="3"/>
    </row>
    <row r="134" spans="3:3" ht="20" customHeight="1" x14ac:dyDescent="0.15">
      <c r="C134" s="3"/>
    </row>
    <row r="135" spans="3:3" ht="20" customHeight="1" x14ac:dyDescent="0.15">
      <c r="C135" s="3"/>
    </row>
    <row r="136" spans="3:3" ht="20" customHeight="1" x14ac:dyDescent="0.15">
      <c r="C136" s="3"/>
    </row>
    <row r="137" spans="3:3" ht="20" customHeight="1" x14ac:dyDescent="0.15">
      <c r="C137" s="3"/>
    </row>
    <row r="138" spans="3:3" ht="20" customHeight="1" x14ac:dyDescent="0.15">
      <c r="C138" s="3"/>
    </row>
    <row r="139" spans="3:3" ht="20" customHeight="1" x14ac:dyDescent="0.15">
      <c r="C139" s="3"/>
    </row>
    <row r="140" spans="3:3" ht="20" customHeight="1" x14ac:dyDescent="0.15">
      <c r="C140" s="3"/>
    </row>
    <row r="141" spans="3:3" ht="20" customHeight="1" x14ac:dyDescent="0.15">
      <c r="C141" s="3"/>
    </row>
    <row r="142" spans="3:3" ht="20" customHeight="1" x14ac:dyDescent="0.15">
      <c r="C142" s="3"/>
    </row>
    <row r="143" spans="3:3" ht="20" customHeight="1" x14ac:dyDescent="0.15">
      <c r="C143" s="3"/>
    </row>
    <row r="144" spans="3:3" ht="20" customHeight="1" x14ac:dyDescent="0.15">
      <c r="C144" s="3"/>
    </row>
    <row r="145" spans="3:3" ht="20" customHeight="1" x14ac:dyDescent="0.15">
      <c r="C145" s="3"/>
    </row>
    <row r="146" spans="3:3" ht="20" customHeight="1" x14ac:dyDescent="0.15">
      <c r="C146" s="3"/>
    </row>
    <row r="147" spans="3:3" ht="20" customHeight="1" x14ac:dyDescent="0.15">
      <c r="C147" s="3"/>
    </row>
    <row r="148" spans="3:3" ht="20" customHeight="1" x14ac:dyDescent="0.15">
      <c r="C148" s="3"/>
    </row>
    <row r="149" spans="3:3" ht="20" customHeight="1" x14ac:dyDescent="0.15">
      <c r="C149" s="3"/>
    </row>
    <row r="150" spans="3:3" ht="20" customHeight="1" x14ac:dyDescent="0.15">
      <c r="C150" s="3"/>
    </row>
    <row r="151" spans="3:3" ht="20" customHeight="1" x14ac:dyDescent="0.15">
      <c r="C151" s="3"/>
    </row>
    <row r="152" spans="3:3" ht="20" customHeight="1" x14ac:dyDescent="0.15">
      <c r="C152" s="3"/>
    </row>
    <row r="153" spans="3:3" ht="20" customHeight="1" x14ac:dyDescent="0.15">
      <c r="C153" s="3"/>
    </row>
    <row r="154" spans="3:3" ht="20" customHeight="1" x14ac:dyDescent="0.15">
      <c r="C154" s="3"/>
    </row>
    <row r="155" spans="3:3" ht="20" customHeight="1" x14ac:dyDescent="0.15">
      <c r="C155" s="3"/>
    </row>
    <row r="156" spans="3:3" ht="20" customHeight="1" x14ac:dyDescent="0.15">
      <c r="C156" s="3"/>
    </row>
    <row r="157" spans="3:3" ht="20" customHeight="1" x14ac:dyDescent="0.15">
      <c r="C157" s="3"/>
    </row>
    <row r="158" spans="3:3" ht="20" customHeight="1" x14ac:dyDescent="0.15">
      <c r="C158" s="3"/>
    </row>
    <row r="159" spans="3:3" ht="20" customHeight="1" x14ac:dyDescent="0.15">
      <c r="C159" s="3"/>
    </row>
    <row r="160" spans="3:3" ht="20" customHeight="1" x14ac:dyDescent="0.15">
      <c r="C160" s="3"/>
    </row>
    <row r="161" spans="3:3" ht="20" customHeight="1" x14ac:dyDescent="0.15">
      <c r="C161" s="3"/>
    </row>
    <row r="162" spans="3:3" ht="20" customHeight="1" x14ac:dyDescent="0.15">
      <c r="C162" s="3"/>
    </row>
    <row r="163" spans="3:3" ht="20" customHeight="1" x14ac:dyDescent="0.15">
      <c r="C163" s="3"/>
    </row>
    <row r="164" spans="3:3" ht="20" customHeight="1" x14ac:dyDescent="0.15">
      <c r="C164" s="3"/>
    </row>
    <row r="165" spans="3:3" ht="20" customHeight="1" x14ac:dyDescent="0.15">
      <c r="C165" s="3"/>
    </row>
    <row r="166" spans="3:3" ht="20" customHeight="1" x14ac:dyDescent="0.15">
      <c r="C166" s="3"/>
    </row>
    <row r="167" spans="3:3" ht="20" customHeight="1" x14ac:dyDescent="0.15">
      <c r="C167" s="3"/>
    </row>
    <row r="168" spans="3:3" ht="20" customHeight="1" x14ac:dyDescent="0.15">
      <c r="C168" s="3"/>
    </row>
    <row r="169" spans="3:3" ht="20" customHeight="1" x14ac:dyDescent="0.15">
      <c r="C169" s="3"/>
    </row>
    <row r="170" spans="3:3" ht="20" customHeight="1" x14ac:dyDescent="0.15">
      <c r="C170" s="3"/>
    </row>
    <row r="171" spans="3:3" ht="20" customHeight="1" x14ac:dyDescent="0.15">
      <c r="C171" s="3"/>
    </row>
    <row r="172" spans="3:3" ht="20" customHeight="1" x14ac:dyDescent="0.15">
      <c r="C172" s="3"/>
    </row>
    <row r="173" spans="3:3" ht="20" customHeight="1" x14ac:dyDescent="0.15">
      <c r="C173" s="3"/>
    </row>
    <row r="174" spans="3:3" ht="20" customHeight="1" x14ac:dyDescent="0.15">
      <c r="C174" s="3"/>
    </row>
    <row r="175" spans="3:3" ht="20" customHeight="1" x14ac:dyDescent="0.15">
      <c r="C175" s="3"/>
    </row>
    <row r="176" spans="3:3" ht="20" customHeight="1" x14ac:dyDescent="0.15">
      <c r="C176" s="3"/>
    </row>
    <row r="177" spans="3:3" ht="20" customHeight="1" x14ac:dyDescent="0.15">
      <c r="C177" s="3"/>
    </row>
    <row r="178" spans="3:3" ht="20" customHeight="1" x14ac:dyDescent="0.15">
      <c r="C178" s="3"/>
    </row>
    <row r="179" spans="3:3" ht="20" customHeight="1" x14ac:dyDescent="0.15">
      <c r="C179" s="3"/>
    </row>
    <row r="180" spans="3:3" ht="20" customHeight="1" x14ac:dyDescent="0.15">
      <c r="C180" s="3"/>
    </row>
    <row r="181" spans="3:3" ht="20" customHeight="1" x14ac:dyDescent="0.15">
      <c r="C181" s="3"/>
    </row>
    <row r="182" spans="3:3" ht="20" customHeight="1" x14ac:dyDescent="0.15">
      <c r="C182" s="3"/>
    </row>
    <row r="183" spans="3:3" ht="20" customHeight="1" x14ac:dyDescent="0.15">
      <c r="C183" s="3"/>
    </row>
    <row r="184" spans="3:3" ht="20" customHeight="1" x14ac:dyDescent="0.15">
      <c r="C184" s="3"/>
    </row>
    <row r="185" spans="3:3" ht="20" customHeight="1" x14ac:dyDescent="0.15">
      <c r="C185" s="3"/>
    </row>
    <row r="186" spans="3:3" ht="20" customHeight="1" x14ac:dyDescent="0.15">
      <c r="C186" s="3"/>
    </row>
    <row r="187" spans="3:3" ht="20" customHeight="1" x14ac:dyDescent="0.15">
      <c r="C187" s="3"/>
    </row>
    <row r="188" spans="3:3" ht="20" customHeight="1" x14ac:dyDescent="0.15">
      <c r="C188" s="3"/>
    </row>
    <row r="189" spans="3:3" ht="20" customHeight="1" x14ac:dyDescent="0.15">
      <c r="C189" s="3"/>
    </row>
    <row r="190" spans="3:3" ht="20" customHeight="1" x14ac:dyDescent="0.15">
      <c r="C190" s="3"/>
    </row>
    <row r="191" spans="3:3" ht="20" customHeight="1" x14ac:dyDescent="0.15">
      <c r="C191" s="3"/>
    </row>
    <row r="192" spans="3:3" ht="20" customHeight="1" x14ac:dyDescent="0.15">
      <c r="C192" s="3"/>
    </row>
    <row r="193" spans="3:3" ht="20" customHeight="1" x14ac:dyDescent="0.15">
      <c r="C193" s="3"/>
    </row>
    <row r="194" spans="3:3" ht="20" customHeight="1" x14ac:dyDescent="0.15">
      <c r="C194" s="3"/>
    </row>
    <row r="195" spans="3:3" ht="20" customHeight="1" x14ac:dyDescent="0.15">
      <c r="C195" s="3"/>
    </row>
    <row r="196" spans="3:3" ht="20" customHeight="1" x14ac:dyDescent="0.15">
      <c r="C196" s="3"/>
    </row>
    <row r="197" spans="3:3" ht="20" customHeight="1" x14ac:dyDescent="0.15">
      <c r="C197" s="3"/>
    </row>
    <row r="198" spans="3:3" ht="20" customHeight="1" x14ac:dyDescent="0.15">
      <c r="C198" s="3"/>
    </row>
    <row r="199" spans="3:3" ht="20" customHeight="1" x14ac:dyDescent="0.15">
      <c r="C199" s="3"/>
    </row>
    <row r="200" spans="3:3" ht="20" customHeight="1" x14ac:dyDescent="0.15">
      <c r="C200" s="3"/>
    </row>
    <row r="201" spans="3:3" ht="20" customHeight="1" x14ac:dyDescent="0.15">
      <c r="C201" s="3"/>
    </row>
    <row r="202" spans="3:3" ht="20" customHeight="1" x14ac:dyDescent="0.15">
      <c r="C202" s="3"/>
    </row>
    <row r="203" spans="3:3" ht="20" customHeight="1" x14ac:dyDescent="0.15">
      <c r="C203" s="3"/>
    </row>
    <row r="204" spans="3:3" ht="20" customHeight="1" x14ac:dyDescent="0.15">
      <c r="C204" s="3"/>
    </row>
    <row r="205" spans="3:3" ht="20" customHeight="1" x14ac:dyDescent="0.15">
      <c r="C205" s="3"/>
    </row>
    <row r="206" spans="3:3" ht="20" customHeight="1" x14ac:dyDescent="0.15">
      <c r="C206" s="3"/>
    </row>
    <row r="207" spans="3:3" ht="20" customHeight="1" x14ac:dyDescent="0.15">
      <c r="C207" s="3"/>
    </row>
    <row r="208" spans="3:3" ht="20" customHeight="1" x14ac:dyDescent="0.15">
      <c r="C208" s="3"/>
    </row>
    <row r="209" spans="3:3" ht="20" customHeight="1" x14ac:dyDescent="0.15">
      <c r="C209" s="3"/>
    </row>
    <row r="210" spans="3:3" ht="20" customHeight="1" x14ac:dyDescent="0.15">
      <c r="C210" s="3"/>
    </row>
    <row r="211" spans="3:3" ht="20" customHeight="1" x14ac:dyDescent="0.15">
      <c r="C211" s="3"/>
    </row>
    <row r="212" spans="3:3" ht="20" customHeight="1" x14ac:dyDescent="0.15">
      <c r="C212" s="3"/>
    </row>
    <row r="213" spans="3:3" ht="20" customHeight="1" x14ac:dyDescent="0.15">
      <c r="C213" s="3"/>
    </row>
    <row r="214" spans="3:3" ht="20" customHeight="1" x14ac:dyDescent="0.15">
      <c r="C214" s="3"/>
    </row>
    <row r="215" spans="3:3" ht="20" customHeight="1" x14ac:dyDescent="0.15">
      <c r="C215" s="3"/>
    </row>
    <row r="216" spans="3:3" ht="20" customHeight="1" x14ac:dyDescent="0.15">
      <c r="C216" s="3"/>
    </row>
    <row r="217" spans="3:3" ht="20" customHeight="1" x14ac:dyDescent="0.15">
      <c r="C217" s="3"/>
    </row>
    <row r="218" spans="3:3" ht="20" customHeight="1" x14ac:dyDescent="0.15">
      <c r="C218" s="3"/>
    </row>
    <row r="219" spans="3:3" ht="20" customHeight="1" x14ac:dyDescent="0.15">
      <c r="C219" s="3"/>
    </row>
    <row r="220" spans="3:3" ht="20" customHeight="1" x14ac:dyDescent="0.15">
      <c r="C220" s="3"/>
    </row>
    <row r="221" spans="3:3" ht="20" customHeight="1" x14ac:dyDescent="0.15">
      <c r="C221" s="3"/>
    </row>
    <row r="222" spans="3:3" ht="20" customHeight="1" x14ac:dyDescent="0.15">
      <c r="C222" s="3"/>
    </row>
    <row r="223" spans="3:3" ht="20" customHeight="1" x14ac:dyDescent="0.15">
      <c r="C223" s="3"/>
    </row>
    <row r="224" spans="3:3" ht="20" customHeight="1" x14ac:dyDescent="0.15">
      <c r="C224" s="3"/>
    </row>
    <row r="225" spans="3:3" ht="20" customHeight="1" x14ac:dyDescent="0.15">
      <c r="C225" s="3"/>
    </row>
    <row r="226" spans="3:3" ht="20" customHeight="1" x14ac:dyDescent="0.15">
      <c r="C226" s="3"/>
    </row>
    <row r="227" spans="3:3" ht="20" customHeight="1" x14ac:dyDescent="0.15">
      <c r="C227" s="3"/>
    </row>
    <row r="228" spans="3:3" ht="20" customHeight="1" x14ac:dyDescent="0.15">
      <c r="C228" s="3"/>
    </row>
    <row r="229" spans="3:3" ht="20" customHeight="1" x14ac:dyDescent="0.15">
      <c r="C229" s="3"/>
    </row>
    <row r="230" spans="3:3" ht="20" customHeight="1" x14ac:dyDescent="0.15">
      <c r="C230" s="3"/>
    </row>
    <row r="231" spans="3:3" ht="20" customHeight="1" x14ac:dyDescent="0.15">
      <c r="C231" s="3"/>
    </row>
    <row r="232" spans="3:3" ht="20" customHeight="1" x14ac:dyDescent="0.15">
      <c r="C232" s="3"/>
    </row>
    <row r="233" spans="3:3" ht="20" customHeight="1" x14ac:dyDescent="0.15">
      <c r="C233" s="3"/>
    </row>
    <row r="234" spans="3:3" ht="20" customHeight="1" x14ac:dyDescent="0.15">
      <c r="C234" s="3"/>
    </row>
    <row r="235" spans="3:3" ht="20" customHeight="1" x14ac:dyDescent="0.15">
      <c r="C235" s="3"/>
    </row>
    <row r="236" spans="3:3" ht="20" customHeight="1" x14ac:dyDescent="0.15">
      <c r="C236" s="3"/>
    </row>
    <row r="237" spans="3:3" ht="20" customHeight="1" x14ac:dyDescent="0.15">
      <c r="C237" s="3"/>
    </row>
    <row r="238" spans="3:3" ht="20" customHeight="1" x14ac:dyDescent="0.15">
      <c r="C238" s="3"/>
    </row>
    <row r="239" spans="3:3" ht="20" customHeight="1" x14ac:dyDescent="0.15">
      <c r="C239" s="3"/>
    </row>
    <row r="240" spans="3:3" ht="20" customHeight="1" x14ac:dyDescent="0.15">
      <c r="C240" s="3"/>
    </row>
    <row r="241" spans="3:3" ht="20" customHeight="1" x14ac:dyDescent="0.15">
      <c r="C241" s="3"/>
    </row>
    <row r="242" spans="3:3" ht="20" customHeight="1" x14ac:dyDescent="0.15">
      <c r="C242" s="3"/>
    </row>
    <row r="243" spans="3:3" ht="20" customHeight="1" x14ac:dyDescent="0.15">
      <c r="C243" s="3"/>
    </row>
    <row r="244" spans="3:3" ht="20" customHeight="1" x14ac:dyDescent="0.15">
      <c r="C244" s="3"/>
    </row>
    <row r="245" spans="3:3" ht="20" customHeight="1" x14ac:dyDescent="0.15">
      <c r="C245" s="3"/>
    </row>
    <row r="246" spans="3:3" ht="20" customHeight="1" x14ac:dyDescent="0.15">
      <c r="C246" s="3"/>
    </row>
    <row r="247" spans="3:3" ht="20" customHeight="1" x14ac:dyDescent="0.15">
      <c r="C247" s="3"/>
    </row>
    <row r="248" spans="3:3" ht="20" customHeight="1" x14ac:dyDescent="0.15">
      <c r="C248" s="3"/>
    </row>
    <row r="249" spans="3:3" ht="20" customHeight="1" x14ac:dyDescent="0.15">
      <c r="C249" s="3"/>
    </row>
    <row r="250" spans="3:3" ht="20" customHeight="1" x14ac:dyDescent="0.15">
      <c r="C250" s="3"/>
    </row>
    <row r="251" spans="3:3" ht="20" customHeight="1" x14ac:dyDescent="0.15">
      <c r="C251" s="3"/>
    </row>
    <row r="252" spans="3:3" ht="20" customHeight="1" x14ac:dyDescent="0.15">
      <c r="C252" s="3"/>
    </row>
    <row r="253" spans="3:3" ht="20" customHeight="1" x14ac:dyDescent="0.15">
      <c r="C253" s="3"/>
    </row>
    <row r="254" spans="3:3" ht="20" customHeight="1" x14ac:dyDescent="0.15">
      <c r="C254" s="3"/>
    </row>
    <row r="255" spans="3:3" ht="20" customHeight="1" x14ac:dyDescent="0.15">
      <c r="C255" s="3"/>
    </row>
    <row r="256" spans="3:3" ht="20" customHeight="1" x14ac:dyDescent="0.15">
      <c r="C256" s="3"/>
    </row>
    <row r="257" spans="3:3" ht="20" customHeight="1" x14ac:dyDescent="0.15">
      <c r="C257" s="3"/>
    </row>
    <row r="258" spans="3:3" ht="20" customHeight="1" x14ac:dyDescent="0.15">
      <c r="C258" s="3"/>
    </row>
    <row r="259" spans="3:3" ht="20" customHeight="1" x14ac:dyDescent="0.15">
      <c r="C259" s="3"/>
    </row>
    <row r="260" spans="3:3" ht="20" customHeight="1" x14ac:dyDescent="0.15">
      <c r="C260" s="3"/>
    </row>
    <row r="261" spans="3:3" ht="20" customHeight="1" x14ac:dyDescent="0.15">
      <c r="C261" s="3"/>
    </row>
    <row r="262" spans="3:3" ht="20" customHeight="1" x14ac:dyDescent="0.15">
      <c r="C262" s="3"/>
    </row>
    <row r="263" spans="3:3" ht="20" customHeight="1" x14ac:dyDescent="0.15">
      <c r="C263" s="3"/>
    </row>
    <row r="264" spans="3:3" ht="20" customHeight="1" x14ac:dyDescent="0.15">
      <c r="C264" s="3"/>
    </row>
    <row r="265" spans="3:3" ht="20" customHeight="1" x14ac:dyDescent="0.15">
      <c r="C265" s="3"/>
    </row>
    <row r="266" spans="3:3" ht="20" customHeight="1" x14ac:dyDescent="0.15">
      <c r="C266" s="3"/>
    </row>
    <row r="267" spans="3:3" ht="20" customHeight="1" x14ac:dyDescent="0.15">
      <c r="C267" s="3"/>
    </row>
    <row r="268" spans="3:3" ht="20" customHeight="1" x14ac:dyDescent="0.15">
      <c r="C268" s="3"/>
    </row>
    <row r="269" spans="3:3" ht="20" customHeight="1" x14ac:dyDescent="0.15">
      <c r="C269" s="3"/>
    </row>
    <row r="270" spans="3:3" ht="20" customHeight="1" x14ac:dyDescent="0.15">
      <c r="C270" s="3"/>
    </row>
    <row r="271" spans="3:3" ht="20" customHeight="1" x14ac:dyDescent="0.15">
      <c r="C271" s="3"/>
    </row>
    <row r="272" spans="3:3" ht="20" customHeight="1" x14ac:dyDescent="0.15">
      <c r="C272" s="3"/>
    </row>
    <row r="273" spans="3:3" ht="20" customHeight="1" x14ac:dyDescent="0.15">
      <c r="C273" s="3"/>
    </row>
    <row r="274" spans="3:3" ht="20" customHeight="1" x14ac:dyDescent="0.15">
      <c r="C274" s="3"/>
    </row>
    <row r="275" spans="3:3" ht="20" customHeight="1" x14ac:dyDescent="0.15">
      <c r="C275" s="3"/>
    </row>
    <row r="276" spans="3:3" ht="20" customHeight="1" x14ac:dyDescent="0.15">
      <c r="C276" s="3"/>
    </row>
    <row r="277" spans="3:3" ht="20" customHeight="1" x14ac:dyDescent="0.15">
      <c r="C277" s="3"/>
    </row>
    <row r="278" spans="3:3" ht="20" customHeight="1" x14ac:dyDescent="0.15">
      <c r="C278" s="3"/>
    </row>
    <row r="279" spans="3:3" ht="20" customHeight="1" x14ac:dyDescent="0.15">
      <c r="C279" s="3"/>
    </row>
    <row r="280" spans="3:3" ht="20" customHeight="1" x14ac:dyDescent="0.15">
      <c r="C280" s="3"/>
    </row>
    <row r="281" spans="3:3" ht="20" customHeight="1" x14ac:dyDescent="0.15">
      <c r="C281" s="3"/>
    </row>
    <row r="282" spans="3:3" ht="20" customHeight="1" x14ac:dyDescent="0.15">
      <c r="C282" s="3"/>
    </row>
    <row r="283" spans="3:3" ht="20" customHeight="1" x14ac:dyDescent="0.15">
      <c r="C283" s="3"/>
    </row>
    <row r="284" spans="3:3" ht="20" customHeight="1" x14ac:dyDescent="0.15">
      <c r="C284" s="3"/>
    </row>
    <row r="285" spans="3:3" ht="20" customHeight="1" x14ac:dyDescent="0.15">
      <c r="C285" s="3"/>
    </row>
    <row r="286" spans="3:3" ht="20" customHeight="1" x14ac:dyDescent="0.15">
      <c r="C286" s="3"/>
    </row>
    <row r="287" spans="3:3" ht="20" customHeight="1" x14ac:dyDescent="0.15">
      <c r="C287" s="3"/>
    </row>
    <row r="288" spans="3:3" ht="20" customHeight="1" x14ac:dyDescent="0.15">
      <c r="C288" s="3"/>
    </row>
    <row r="289" spans="3:3" ht="20" customHeight="1" x14ac:dyDescent="0.15">
      <c r="C289" s="3"/>
    </row>
    <row r="290" spans="3:3" ht="20" customHeight="1" x14ac:dyDescent="0.15">
      <c r="C290" s="3"/>
    </row>
    <row r="291" spans="3:3" ht="20" customHeight="1" x14ac:dyDescent="0.15">
      <c r="C291" s="3"/>
    </row>
    <row r="292" spans="3:3" ht="20" customHeight="1" x14ac:dyDescent="0.15">
      <c r="C292" s="3"/>
    </row>
    <row r="293" spans="3:3" ht="20" customHeight="1" x14ac:dyDescent="0.15">
      <c r="C293" s="3"/>
    </row>
    <row r="294" spans="3:3" ht="20" customHeight="1" x14ac:dyDescent="0.15">
      <c r="C294" s="3"/>
    </row>
    <row r="295" spans="3:3" ht="20" customHeight="1" x14ac:dyDescent="0.15">
      <c r="C295" s="3"/>
    </row>
    <row r="296" spans="3:3" ht="20" customHeight="1" x14ac:dyDescent="0.15">
      <c r="C296" s="3"/>
    </row>
    <row r="297" spans="3:3" ht="20" customHeight="1" x14ac:dyDescent="0.15">
      <c r="C297" s="3"/>
    </row>
    <row r="298" spans="3:3" ht="20" customHeight="1" x14ac:dyDescent="0.15">
      <c r="C298" s="3"/>
    </row>
    <row r="299" spans="3:3" ht="20" customHeight="1" x14ac:dyDescent="0.15">
      <c r="C299" s="3"/>
    </row>
    <row r="300" spans="3:3" ht="20" customHeight="1" x14ac:dyDescent="0.15">
      <c r="C300" s="3"/>
    </row>
    <row r="301" spans="3:3" ht="20" customHeight="1" x14ac:dyDescent="0.15">
      <c r="C301" s="3"/>
    </row>
    <row r="302" spans="3:3" ht="20" customHeight="1" x14ac:dyDescent="0.15">
      <c r="C302" s="3"/>
    </row>
    <row r="303" spans="3:3" ht="20" customHeight="1" x14ac:dyDescent="0.15">
      <c r="C303" s="3"/>
    </row>
    <row r="304" spans="3:3" ht="20" customHeight="1" x14ac:dyDescent="0.15">
      <c r="C304" s="3"/>
    </row>
    <row r="305" spans="3:3" ht="20" customHeight="1" x14ac:dyDescent="0.15">
      <c r="C305" s="3"/>
    </row>
    <row r="306" spans="3:3" ht="20" customHeight="1" x14ac:dyDescent="0.15">
      <c r="C306" s="3"/>
    </row>
    <row r="307" spans="3:3" ht="20" customHeight="1" x14ac:dyDescent="0.15">
      <c r="C307" s="3"/>
    </row>
    <row r="308" spans="3:3" ht="20" customHeight="1" x14ac:dyDescent="0.15">
      <c r="C308" s="3"/>
    </row>
    <row r="309" spans="3:3" ht="20" customHeight="1" x14ac:dyDescent="0.15">
      <c r="C309" s="3"/>
    </row>
    <row r="310" spans="3:3" ht="20" customHeight="1" x14ac:dyDescent="0.15">
      <c r="C310" s="3"/>
    </row>
    <row r="311" spans="3:3" ht="20" customHeight="1" x14ac:dyDescent="0.15">
      <c r="C311" s="3"/>
    </row>
    <row r="312" spans="3:3" ht="20" customHeight="1" x14ac:dyDescent="0.15">
      <c r="C312" s="3"/>
    </row>
    <row r="313" spans="3:3" ht="20" customHeight="1" x14ac:dyDescent="0.15">
      <c r="C313" s="3"/>
    </row>
    <row r="314" spans="3:3" ht="20" customHeight="1" x14ac:dyDescent="0.15">
      <c r="C314" s="3"/>
    </row>
    <row r="315" spans="3:3" ht="20" customHeight="1" x14ac:dyDescent="0.15">
      <c r="C315" s="3"/>
    </row>
    <row r="316" spans="3:3" ht="20" customHeight="1" x14ac:dyDescent="0.15">
      <c r="C316" s="3"/>
    </row>
    <row r="317" spans="3:3" ht="20" customHeight="1" x14ac:dyDescent="0.15">
      <c r="C317" s="3"/>
    </row>
    <row r="318" spans="3:3" ht="20" customHeight="1" x14ac:dyDescent="0.15">
      <c r="C318" s="3"/>
    </row>
    <row r="319" spans="3:3" ht="20" customHeight="1" x14ac:dyDescent="0.15">
      <c r="C319" s="3"/>
    </row>
    <row r="320" spans="3:3" ht="20" customHeight="1" x14ac:dyDescent="0.15">
      <c r="C320" s="3"/>
    </row>
    <row r="321" spans="3:3" ht="20" customHeight="1" x14ac:dyDescent="0.15">
      <c r="C321" s="3"/>
    </row>
    <row r="322" spans="3:3" ht="20" customHeight="1" x14ac:dyDescent="0.15">
      <c r="C322" s="3"/>
    </row>
    <row r="323" spans="3:3" ht="20" customHeight="1" x14ac:dyDescent="0.15">
      <c r="C323" s="3"/>
    </row>
    <row r="324" spans="3:3" ht="20" customHeight="1" x14ac:dyDescent="0.15">
      <c r="C324" s="3"/>
    </row>
    <row r="325" spans="3:3" ht="20" customHeight="1" x14ac:dyDescent="0.15">
      <c r="C325" s="3"/>
    </row>
    <row r="326" spans="3:3" ht="20" customHeight="1" x14ac:dyDescent="0.15">
      <c r="C326" s="3"/>
    </row>
    <row r="327" spans="3:3" ht="20" customHeight="1" x14ac:dyDescent="0.15">
      <c r="C327" s="3"/>
    </row>
    <row r="328" spans="3:3" ht="20" customHeight="1" x14ac:dyDescent="0.15">
      <c r="C328" s="3"/>
    </row>
    <row r="329" spans="3:3" ht="20" customHeight="1" x14ac:dyDescent="0.15">
      <c r="C329" s="3"/>
    </row>
    <row r="330" spans="3:3" ht="20" customHeight="1" x14ac:dyDescent="0.15">
      <c r="C330" s="3"/>
    </row>
    <row r="331" spans="3:3" ht="20" customHeight="1" x14ac:dyDescent="0.15">
      <c r="C331" s="3"/>
    </row>
    <row r="332" spans="3:3" ht="20" customHeight="1" x14ac:dyDescent="0.15">
      <c r="C332" s="3"/>
    </row>
    <row r="333" spans="3:3" ht="20" customHeight="1" x14ac:dyDescent="0.15">
      <c r="C333" s="3"/>
    </row>
    <row r="334" spans="3:3" ht="20" customHeight="1" x14ac:dyDescent="0.15">
      <c r="C334" s="3"/>
    </row>
    <row r="335" spans="3:3" ht="20" customHeight="1" x14ac:dyDescent="0.15">
      <c r="C335" s="3"/>
    </row>
    <row r="336" spans="3:3" ht="20" customHeight="1" x14ac:dyDescent="0.15">
      <c r="C336" s="3"/>
    </row>
    <row r="337" spans="3:3" ht="20" customHeight="1" x14ac:dyDescent="0.15">
      <c r="C337" s="3"/>
    </row>
    <row r="338" spans="3:3" ht="20" customHeight="1" x14ac:dyDescent="0.15">
      <c r="C338" s="3"/>
    </row>
    <row r="339" spans="3:3" ht="20" customHeight="1" x14ac:dyDescent="0.15">
      <c r="C339" s="3"/>
    </row>
    <row r="340" spans="3:3" ht="20" customHeight="1" x14ac:dyDescent="0.15">
      <c r="C340" s="3"/>
    </row>
    <row r="341" spans="3:3" ht="20" customHeight="1" x14ac:dyDescent="0.15">
      <c r="C341" s="3"/>
    </row>
    <row r="342" spans="3:3" ht="20" customHeight="1" x14ac:dyDescent="0.15">
      <c r="C342" s="3"/>
    </row>
    <row r="343" spans="3:3" ht="20" customHeight="1" x14ac:dyDescent="0.15">
      <c r="C343" s="3"/>
    </row>
    <row r="344" spans="3:3" ht="20" customHeight="1" x14ac:dyDescent="0.15">
      <c r="C344" s="3"/>
    </row>
    <row r="345" spans="3:3" ht="20" customHeight="1" x14ac:dyDescent="0.15">
      <c r="C345" s="3"/>
    </row>
    <row r="346" spans="3:3" ht="20" customHeight="1" x14ac:dyDescent="0.15">
      <c r="C346" s="3"/>
    </row>
    <row r="347" spans="3:3" ht="20" customHeight="1" x14ac:dyDescent="0.15">
      <c r="C347" s="3"/>
    </row>
    <row r="348" spans="3:3" ht="20" customHeight="1" x14ac:dyDescent="0.15">
      <c r="C348" s="3"/>
    </row>
    <row r="349" spans="3:3" ht="20" customHeight="1" x14ac:dyDescent="0.15">
      <c r="C349" s="3"/>
    </row>
    <row r="350" spans="3:3" ht="20" customHeight="1" x14ac:dyDescent="0.15">
      <c r="C350" s="3"/>
    </row>
    <row r="351" spans="3:3" ht="20" customHeight="1" x14ac:dyDescent="0.15">
      <c r="C351" s="3"/>
    </row>
    <row r="352" spans="3:3" ht="20" customHeight="1" x14ac:dyDescent="0.15">
      <c r="C352" s="3"/>
    </row>
    <row r="353" spans="3:3" ht="20" customHeight="1" x14ac:dyDescent="0.15">
      <c r="C353" s="3"/>
    </row>
    <row r="354" spans="3:3" ht="20" customHeight="1" x14ac:dyDescent="0.15">
      <c r="C354" s="3"/>
    </row>
    <row r="355" spans="3:3" ht="20" customHeight="1" x14ac:dyDescent="0.15">
      <c r="C355" s="3"/>
    </row>
    <row r="356" spans="3:3" ht="20" customHeight="1" x14ac:dyDescent="0.15">
      <c r="C356" s="3"/>
    </row>
    <row r="357" spans="3:3" ht="20" customHeight="1" x14ac:dyDescent="0.15">
      <c r="C357" s="3"/>
    </row>
    <row r="358" spans="3:3" ht="20" customHeight="1" x14ac:dyDescent="0.15">
      <c r="C358" s="3"/>
    </row>
    <row r="359" spans="3:3" ht="20" customHeight="1" x14ac:dyDescent="0.15">
      <c r="C359" s="3"/>
    </row>
    <row r="360" spans="3:3" ht="20" customHeight="1" x14ac:dyDescent="0.15">
      <c r="C360" s="3"/>
    </row>
    <row r="361" spans="3:3" ht="20" customHeight="1" x14ac:dyDescent="0.15">
      <c r="C361" s="3"/>
    </row>
    <row r="362" spans="3:3" ht="20" customHeight="1" x14ac:dyDescent="0.15">
      <c r="C362" s="3"/>
    </row>
    <row r="363" spans="3:3" ht="20" customHeight="1" x14ac:dyDescent="0.15">
      <c r="C363" s="3"/>
    </row>
    <row r="364" spans="3:3" ht="20" customHeight="1" x14ac:dyDescent="0.15">
      <c r="C364" s="3"/>
    </row>
    <row r="365" spans="3:3" ht="20" customHeight="1" x14ac:dyDescent="0.15">
      <c r="C365" s="3"/>
    </row>
    <row r="366" spans="3:3" ht="20" customHeight="1" x14ac:dyDescent="0.15">
      <c r="C366" s="3"/>
    </row>
    <row r="367" spans="3:3" ht="20" customHeight="1" x14ac:dyDescent="0.15">
      <c r="C367" s="3"/>
    </row>
    <row r="368" spans="3:3" ht="20" customHeight="1" x14ac:dyDescent="0.15">
      <c r="C368" s="3"/>
    </row>
    <row r="369" spans="3:3" ht="20" customHeight="1" x14ac:dyDescent="0.15">
      <c r="C369" s="3"/>
    </row>
    <row r="372" spans="3:3" ht="20" customHeight="1" x14ac:dyDescent="0.15">
      <c r="C372" s="3"/>
    </row>
    <row r="373" spans="3:3" ht="20" customHeight="1" x14ac:dyDescent="0.15">
      <c r="C373" s="3"/>
    </row>
    <row r="374" spans="3:3" ht="20" customHeight="1" x14ac:dyDescent="0.15">
      <c r="C374" s="3"/>
    </row>
    <row r="375" spans="3:3" ht="20" customHeight="1" x14ac:dyDescent="0.15">
      <c r="C375" s="3"/>
    </row>
    <row r="376" spans="3:3" ht="20" customHeight="1" x14ac:dyDescent="0.15">
      <c r="C376" s="3"/>
    </row>
    <row r="377" spans="3:3" ht="20" customHeight="1" x14ac:dyDescent="0.15">
      <c r="C377" s="3"/>
    </row>
    <row r="378" spans="3:3" ht="20" customHeight="1" x14ac:dyDescent="0.15">
      <c r="C378" s="3"/>
    </row>
    <row r="379" spans="3:3" ht="20" customHeight="1" x14ac:dyDescent="0.15">
      <c r="C379" s="3"/>
    </row>
    <row r="380" spans="3:3" ht="20" customHeight="1" x14ac:dyDescent="0.15">
      <c r="C380" s="3"/>
    </row>
    <row r="381" spans="3:3" ht="20" customHeight="1" x14ac:dyDescent="0.15">
      <c r="C381" s="3"/>
    </row>
    <row r="382" spans="3:3" ht="20" customHeight="1" x14ac:dyDescent="0.15">
      <c r="C382" s="3"/>
    </row>
    <row r="383" spans="3:3" ht="20" customHeight="1" x14ac:dyDescent="0.15">
      <c r="C383" s="3"/>
    </row>
    <row r="384" spans="3:3" ht="20" customHeight="1" x14ac:dyDescent="0.15">
      <c r="C384" s="3"/>
    </row>
    <row r="385" spans="3:3" ht="20" customHeight="1" x14ac:dyDescent="0.15">
      <c r="C385" s="3"/>
    </row>
    <row r="386" spans="3:3" ht="20" customHeight="1" x14ac:dyDescent="0.15">
      <c r="C386" s="3"/>
    </row>
    <row r="387" spans="3:3" ht="20" customHeight="1" x14ac:dyDescent="0.15">
      <c r="C387" s="3"/>
    </row>
    <row r="388" spans="3:3" ht="20" customHeight="1" x14ac:dyDescent="0.15">
      <c r="C388" s="3"/>
    </row>
    <row r="389" spans="3:3" ht="20" customHeight="1" x14ac:dyDescent="0.15">
      <c r="C389" s="3"/>
    </row>
    <row r="390" spans="3:3" ht="20" customHeight="1" x14ac:dyDescent="0.15">
      <c r="C390" s="3"/>
    </row>
    <row r="391" spans="3:3" ht="20" customHeight="1" x14ac:dyDescent="0.15">
      <c r="C391" s="3"/>
    </row>
    <row r="392" spans="3:3" ht="20" customHeight="1" x14ac:dyDescent="0.15">
      <c r="C392" s="3"/>
    </row>
    <row r="393" spans="3:3" ht="20" customHeight="1" x14ac:dyDescent="0.15">
      <c r="C393" s="3"/>
    </row>
    <row r="394" spans="3:3" ht="20" customHeight="1" x14ac:dyDescent="0.15">
      <c r="C394" s="3"/>
    </row>
    <row r="395" spans="3:3" ht="20" customHeight="1" x14ac:dyDescent="0.15">
      <c r="C395" s="3"/>
    </row>
    <row r="396" spans="3:3" ht="20" customHeight="1" x14ac:dyDescent="0.15">
      <c r="C396" s="3"/>
    </row>
    <row r="397" spans="3:3" ht="20" customHeight="1" x14ac:dyDescent="0.15">
      <c r="C397" s="3"/>
    </row>
    <row r="398" spans="3:3" ht="20" customHeight="1" x14ac:dyDescent="0.15">
      <c r="C398" s="3"/>
    </row>
    <row r="399" spans="3:3" ht="20" customHeight="1" x14ac:dyDescent="0.15">
      <c r="C399" s="3"/>
    </row>
    <row r="400" spans="3:3" ht="20" customHeight="1" x14ac:dyDescent="0.15">
      <c r="C400" s="3"/>
    </row>
    <row r="401" spans="3:3" ht="20" customHeight="1" x14ac:dyDescent="0.15">
      <c r="C401" s="3"/>
    </row>
    <row r="402" spans="3:3" ht="20" customHeight="1" x14ac:dyDescent="0.15">
      <c r="C402" s="3"/>
    </row>
    <row r="403" spans="3:3" ht="20" customHeight="1" x14ac:dyDescent="0.15">
      <c r="C403" s="3"/>
    </row>
    <row r="404" spans="3:3" ht="20" customHeight="1" x14ac:dyDescent="0.15">
      <c r="C404" s="3"/>
    </row>
    <row r="405" spans="3:3" ht="20" customHeight="1" x14ac:dyDescent="0.15">
      <c r="C405" s="3"/>
    </row>
    <row r="406" spans="3:3" ht="20" customHeight="1" x14ac:dyDescent="0.15">
      <c r="C406" s="3"/>
    </row>
    <row r="407" spans="3:3" ht="20" customHeight="1" x14ac:dyDescent="0.15">
      <c r="C407" s="3"/>
    </row>
    <row r="408" spans="3:3" ht="20" customHeight="1" x14ac:dyDescent="0.15">
      <c r="C408" s="3"/>
    </row>
    <row r="409" spans="3:3" ht="20" customHeight="1" x14ac:dyDescent="0.15">
      <c r="C409" s="3"/>
    </row>
    <row r="410" spans="3:3" ht="20" customHeight="1" x14ac:dyDescent="0.15">
      <c r="C410" s="3"/>
    </row>
    <row r="411" spans="3:3" ht="20" customHeight="1" x14ac:dyDescent="0.15">
      <c r="C411" s="3"/>
    </row>
    <row r="412" spans="3:3" ht="20" customHeight="1" x14ac:dyDescent="0.15">
      <c r="C412" s="3"/>
    </row>
    <row r="413" spans="3:3" ht="20" customHeight="1" x14ac:dyDescent="0.15">
      <c r="C413" s="3"/>
    </row>
    <row r="414" spans="3:3" ht="20" customHeight="1" x14ac:dyDescent="0.15">
      <c r="C414" s="3"/>
    </row>
    <row r="415" spans="3:3" ht="20" customHeight="1" x14ac:dyDescent="0.15">
      <c r="C415" s="3"/>
    </row>
    <row r="416" spans="3:3" ht="20" customHeight="1" x14ac:dyDescent="0.15">
      <c r="C416" s="3"/>
    </row>
    <row r="417" spans="3:3" ht="20" customHeight="1" x14ac:dyDescent="0.15">
      <c r="C417" s="3"/>
    </row>
    <row r="418" spans="3:3" ht="20" customHeight="1" x14ac:dyDescent="0.15">
      <c r="C418" s="3"/>
    </row>
    <row r="419" spans="3:3" ht="20" customHeight="1" x14ac:dyDescent="0.15">
      <c r="C419" s="3"/>
    </row>
    <row r="420" spans="3:3" ht="20" customHeight="1" x14ac:dyDescent="0.15">
      <c r="C420" s="3"/>
    </row>
    <row r="421" spans="3:3" ht="20" customHeight="1" x14ac:dyDescent="0.15">
      <c r="C421" s="3"/>
    </row>
    <row r="422" spans="3:3" ht="20" customHeight="1" x14ac:dyDescent="0.15">
      <c r="C422" s="3"/>
    </row>
    <row r="423" spans="3:3" ht="20" customHeight="1" x14ac:dyDescent="0.15">
      <c r="C423" s="3"/>
    </row>
    <row r="424" spans="3:3" ht="20" customHeight="1" x14ac:dyDescent="0.15">
      <c r="C424" s="3"/>
    </row>
    <row r="425" spans="3:3" ht="20" customHeight="1" x14ac:dyDescent="0.15">
      <c r="C425" s="3"/>
    </row>
    <row r="426" spans="3:3" ht="20" customHeight="1" x14ac:dyDescent="0.15">
      <c r="C426" s="3"/>
    </row>
    <row r="427" spans="3:3" ht="20" customHeight="1" x14ac:dyDescent="0.15">
      <c r="C427" s="3"/>
    </row>
    <row r="428" spans="3:3" ht="20" customHeight="1" x14ac:dyDescent="0.15">
      <c r="C428" s="3"/>
    </row>
    <row r="429" spans="3:3" ht="20" customHeight="1" x14ac:dyDescent="0.15">
      <c r="C429" s="3"/>
    </row>
    <row r="430" spans="3:3" ht="20" customHeight="1" x14ac:dyDescent="0.15">
      <c r="C430" s="3"/>
    </row>
    <row r="431" spans="3:3" ht="20" customHeight="1" x14ac:dyDescent="0.15">
      <c r="C431" s="3"/>
    </row>
    <row r="432" spans="3:3" ht="20" customHeight="1" x14ac:dyDescent="0.15">
      <c r="C432" s="3"/>
    </row>
    <row r="433" spans="3:3" ht="20" customHeight="1" x14ac:dyDescent="0.15">
      <c r="C433" s="3"/>
    </row>
    <row r="434" spans="3:3" ht="20" customHeight="1" x14ac:dyDescent="0.15">
      <c r="C434" s="3"/>
    </row>
    <row r="435" spans="3:3" ht="20" customHeight="1" x14ac:dyDescent="0.15">
      <c r="C435" s="3"/>
    </row>
    <row r="436" spans="3:3" ht="20" customHeight="1" x14ac:dyDescent="0.15">
      <c r="C436" s="3"/>
    </row>
    <row r="437" spans="3:3" ht="20" customHeight="1" x14ac:dyDescent="0.15">
      <c r="C437" s="3"/>
    </row>
    <row r="438" spans="3:3" ht="20" customHeight="1" x14ac:dyDescent="0.15">
      <c r="C438" s="3"/>
    </row>
    <row r="439" spans="3:3" ht="20" customHeight="1" x14ac:dyDescent="0.15">
      <c r="C439" s="3"/>
    </row>
    <row r="440" spans="3:3" ht="20" customHeight="1" x14ac:dyDescent="0.15">
      <c r="C440" s="3"/>
    </row>
    <row r="441" spans="3:3" ht="20" customHeight="1" x14ac:dyDescent="0.15">
      <c r="C441" s="3"/>
    </row>
    <row r="442" spans="3:3" ht="20" customHeight="1" x14ac:dyDescent="0.15">
      <c r="C442" s="3"/>
    </row>
    <row r="443" spans="3:3" ht="20" customHeight="1" x14ac:dyDescent="0.15">
      <c r="C443" s="3"/>
    </row>
    <row r="444" spans="3:3" ht="20" customHeight="1" x14ac:dyDescent="0.15">
      <c r="C444" s="3"/>
    </row>
    <row r="445" spans="3:3" ht="20" customHeight="1" x14ac:dyDescent="0.15">
      <c r="C445" s="3"/>
    </row>
    <row r="446" spans="3:3" ht="20" customHeight="1" x14ac:dyDescent="0.15">
      <c r="C446" s="3"/>
    </row>
    <row r="447" spans="3:3" ht="20" customHeight="1" x14ac:dyDescent="0.15">
      <c r="C447" s="3"/>
    </row>
    <row r="448" spans="3:3" ht="20" customHeight="1" x14ac:dyDescent="0.15">
      <c r="C448" s="3"/>
    </row>
    <row r="449" spans="3:3" ht="20" customHeight="1" x14ac:dyDescent="0.15">
      <c r="C449" s="3"/>
    </row>
    <row r="450" spans="3:3" ht="20" customHeight="1" x14ac:dyDescent="0.15">
      <c r="C450" s="3"/>
    </row>
    <row r="451" spans="3:3" ht="20" customHeight="1" x14ac:dyDescent="0.15">
      <c r="C451" s="3"/>
    </row>
    <row r="452" spans="3:3" ht="20" customHeight="1" x14ac:dyDescent="0.15">
      <c r="C452" s="3"/>
    </row>
    <row r="453" spans="3:3" ht="20" customHeight="1" x14ac:dyDescent="0.15">
      <c r="C453" s="3"/>
    </row>
    <row r="454" spans="3:3" ht="20" customHeight="1" x14ac:dyDescent="0.15">
      <c r="C454" s="3"/>
    </row>
    <row r="455" spans="3:3" ht="20" customHeight="1" x14ac:dyDescent="0.15">
      <c r="C455" s="3"/>
    </row>
    <row r="456" spans="3:3" ht="20" customHeight="1" x14ac:dyDescent="0.15">
      <c r="C456" s="3"/>
    </row>
    <row r="457" spans="3:3" ht="20" customHeight="1" x14ac:dyDescent="0.15">
      <c r="C457" s="3"/>
    </row>
    <row r="458" spans="3:3" ht="20" customHeight="1" x14ac:dyDescent="0.15">
      <c r="C458" s="3"/>
    </row>
    <row r="459" spans="3:3" ht="20" customHeight="1" x14ac:dyDescent="0.15">
      <c r="C459" s="3"/>
    </row>
    <row r="460" spans="3:3" ht="20" customHeight="1" x14ac:dyDescent="0.15">
      <c r="C460" s="3"/>
    </row>
    <row r="461" spans="3:3" ht="20" customHeight="1" x14ac:dyDescent="0.15">
      <c r="C461" s="3"/>
    </row>
    <row r="462" spans="3:3" ht="20" customHeight="1" x14ac:dyDescent="0.15">
      <c r="C462" s="3"/>
    </row>
    <row r="463" spans="3:3" ht="20" customHeight="1" x14ac:dyDescent="0.15">
      <c r="C463" s="3"/>
    </row>
    <row r="464" spans="3:3" ht="20" customHeight="1" x14ac:dyDescent="0.15">
      <c r="C464" s="3"/>
    </row>
    <row r="465" spans="3:3" ht="20" customHeight="1" x14ac:dyDescent="0.15">
      <c r="C465" s="3"/>
    </row>
    <row r="466" spans="3:3" ht="20" customHeight="1" x14ac:dyDescent="0.15">
      <c r="C466" s="3"/>
    </row>
    <row r="467" spans="3:3" ht="20" customHeight="1" x14ac:dyDescent="0.15">
      <c r="C467" s="3"/>
    </row>
    <row r="468" spans="3:3" ht="20" customHeight="1" x14ac:dyDescent="0.15">
      <c r="C468" s="3"/>
    </row>
    <row r="469" spans="3:3" ht="20" customHeight="1" x14ac:dyDescent="0.15">
      <c r="C469" s="3"/>
    </row>
    <row r="470" spans="3:3" ht="20" customHeight="1" x14ac:dyDescent="0.15">
      <c r="C470" s="3"/>
    </row>
    <row r="471" spans="3:3" ht="20" customHeight="1" x14ac:dyDescent="0.15">
      <c r="C471" s="3"/>
    </row>
    <row r="472" spans="3:3" ht="20" customHeight="1" x14ac:dyDescent="0.15">
      <c r="C472" s="3"/>
    </row>
    <row r="473" spans="3:3" ht="20" customHeight="1" x14ac:dyDescent="0.15">
      <c r="C473" s="3"/>
    </row>
    <row r="474" spans="3:3" ht="20" customHeight="1" x14ac:dyDescent="0.15">
      <c r="C474" s="3"/>
    </row>
    <row r="475" spans="3:3" ht="20" customHeight="1" x14ac:dyDescent="0.15">
      <c r="C475" s="3"/>
    </row>
    <row r="476" spans="3:3" ht="20" customHeight="1" x14ac:dyDescent="0.15">
      <c r="C476" s="3"/>
    </row>
    <row r="477" spans="3:3" ht="20" customHeight="1" x14ac:dyDescent="0.15">
      <c r="C477" s="3"/>
    </row>
    <row r="478" spans="3:3" ht="20" customHeight="1" x14ac:dyDescent="0.15">
      <c r="C478" s="3"/>
    </row>
    <row r="479" spans="3:3" ht="20" customHeight="1" x14ac:dyDescent="0.15">
      <c r="C479" s="3"/>
    </row>
    <row r="480" spans="3:3" ht="20" customHeight="1" x14ac:dyDescent="0.15">
      <c r="C480" s="3"/>
    </row>
    <row r="481" spans="3:3" ht="20" customHeight="1" x14ac:dyDescent="0.15">
      <c r="C481" s="3"/>
    </row>
    <row r="482" spans="3:3" ht="20" customHeight="1" x14ac:dyDescent="0.15">
      <c r="C482" s="3"/>
    </row>
    <row r="483" spans="3:3" ht="20" customHeight="1" x14ac:dyDescent="0.15">
      <c r="C483" s="3"/>
    </row>
    <row r="484" spans="3:3" ht="20" customHeight="1" x14ac:dyDescent="0.15">
      <c r="C484" s="3"/>
    </row>
    <row r="485" spans="3:3" ht="20" customHeight="1" x14ac:dyDescent="0.15">
      <c r="C485" s="3"/>
    </row>
    <row r="486" spans="3:3" ht="20" customHeight="1" x14ac:dyDescent="0.15">
      <c r="C486" s="3"/>
    </row>
    <row r="487" spans="3:3" ht="20" customHeight="1" x14ac:dyDescent="0.15">
      <c r="C487" s="3"/>
    </row>
    <row r="488" spans="3:3" ht="20" customHeight="1" x14ac:dyDescent="0.15">
      <c r="C488" s="3"/>
    </row>
    <row r="489" spans="3:3" ht="20" customHeight="1" x14ac:dyDescent="0.15">
      <c r="C489" s="3"/>
    </row>
    <row r="490" spans="3:3" ht="20" customHeight="1" x14ac:dyDescent="0.15">
      <c r="C490" s="3"/>
    </row>
    <row r="491" spans="3:3" ht="20" customHeight="1" x14ac:dyDescent="0.15">
      <c r="C491" s="3"/>
    </row>
    <row r="492" spans="3:3" ht="20" customHeight="1" x14ac:dyDescent="0.15">
      <c r="C492" s="3"/>
    </row>
    <row r="493" spans="3:3" ht="20" customHeight="1" x14ac:dyDescent="0.15">
      <c r="C493" s="3"/>
    </row>
    <row r="494" spans="3:3" ht="20" customHeight="1" x14ac:dyDescent="0.15">
      <c r="C494" s="3"/>
    </row>
    <row r="495" spans="3:3" ht="20" customHeight="1" x14ac:dyDescent="0.15">
      <c r="C495" s="3"/>
    </row>
    <row r="496" spans="3:3" ht="20" customHeight="1" x14ac:dyDescent="0.15">
      <c r="C496" s="3"/>
    </row>
    <row r="497" spans="3:3" ht="20" customHeight="1" x14ac:dyDescent="0.15">
      <c r="C497" s="3"/>
    </row>
    <row r="498" spans="3:3" ht="20" customHeight="1" x14ac:dyDescent="0.15">
      <c r="C498" s="3"/>
    </row>
    <row r="499" spans="3:3" ht="20" customHeight="1" x14ac:dyDescent="0.15">
      <c r="C499" s="3"/>
    </row>
    <row r="500" spans="3:3" ht="20" customHeight="1" x14ac:dyDescent="0.15">
      <c r="C500" s="3"/>
    </row>
    <row r="501" spans="3:3" ht="20" customHeight="1" x14ac:dyDescent="0.15">
      <c r="C501" s="3"/>
    </row>
    <row r="502" spans="3:3" ht="20" customHeight="1" x14ac:dyDescent="0.15">
      <c r="C502" s="3"/>
    </row>
    <row r="503" spans="3:3" ht="20" customHeight="1" x14ac:dyDescent="0.15">
      <c r="C503" s="3"/>
    </row>
    <row r="504" spans="3:3" ht="20" customHeight="1" x14ac:dyDescent="0.15">
      <c r="C504" s="3"/>
    </row>
    <row r="505" spans="3:3" ht="20" customHeight="1" x14ac:dyDescent="0.15">
      <c r="C505" s="3"/>
    </row>
    <row r="506" spans="3:3" ht="20" customHeight="1" x14ac:dyDescent="0.15">
      <c r="C506" s="3"/>
    </row>
    <row r="507" spans="3:3" ht="20" customHeight="1" x14ac:dyDescent="0.15">
      <c r="C507" s="3"/>
    </row>
    <row r="508" spans="3:3" ht="20" customHeight="1" x14ac:dyDescent="0.15">
      <c r="C508" s="3"/>
    </row>
    <row r="509" spans="3:3" ht="20" customHeight="1" x14ac:dyDescent="0.15">
      <c r="C509" s="3"/>
    </row>
    <row r="510" spans="3:3" ht="20" customHeight="1" x14ac:dyDescent="0.15">
      <c r="C510" s="3"/>
    </row>
    <row r="511" spans="3:3" ht="20" customHeight="1" x14ac:dyDescent="0.15">
      <c r="C511" s="3"/>
    </row>
    <row r="512" spans="3:3" ht="20" customHeight="1" x14ac:dyDescent="0.15">
      <c r="C512" s="3"/>
    </row>
    <row r="513" spans="3:3" ht="20" customHeight="1" x14ac:dyDescent="0.15">
      <c r="C513" s="3"/>
    </row>
    <row r="514" spans="3:3" ht="20" customHeight="1" x14ac:dyDescent="0.15">
      <c r="C514" s="3"/>
    </row>
    <row r="515" spans="3:3" ht="20" customHeight="1" x14ac:dyDescent="0.15">
      <c r="C515" s="3"/>
    </row>
    <row r="516" spans="3:3" ht="20" customHeight="1" x14ac:dyDescent="0.15">
      <c r="C516" s="3"/>
    </row>
    <row r="517" spans="3:3" ht="20" customHeight="1" x14ac:dyDescent="0.15">
      <c r="C517" s="3"/>
    </row>
    <row r="518" spans="3:3" ht="20" customHeight="1" x14ac:dyDescent="0.15">
      <c r="C518" s="3"/>
    </row>
    <row r="519" spans="3:3" ht="20" customHeight="1" x14ac:dyDescent="0.15">
      <c r="C519" s="3"/>
    </row>
    <row r="520" spans="3:3" ht="20" customHeight="1" x14ac:dyDescent="0.15">
      <c r="C520" s="3"/>
    </row>
    <row r="521" spans="3:3" ht="20" customHeight="1" x14ac:dyDescent="0.15">
      <c r="C521" s="3"/>
    </row>
    <row r="522" spans="3:3" ht="20" customHeight="1" x14ac:dyDescent="0.15">
      <c r="C522" s="3"/>
    </row>
    <row r="523" spans="3:3" ht="20" customHeight="1" x14ac:dyDescent="0.15">
      <c r="C523" s="3"/>
    </row>
    <row r="524" spans="3:3" ht="20" customHeight="1" x14ac:dyDescent="0.15">
      <c r="C524" s="3"/>
    </row>
    <row r="525" spans="3:3" ht="20" customHeight="1" x14ac:dyDescent="0.15">
      <c r="C525" s="3"/>
    </row>
    <row r="526" spans="3:3" ht="20" customHeight="1" x14ac:dyDescent="0.15">
      <c r="C526" s="3"/>
    </row>
    <row r="527" spans="3:3" ht="20" customHeight="1" x14ac:dyDescent="0.15">
      <c r="C527" s="3"/>
    </row>
    <row r="528" spans="3:3" ht="20" customHeight="1" x14ac:dyDescent="0.15">
      <c r="C528" s="3"/>
    </row>
    <row r="529" spans="3:3" ht="20" customHeight="1" x14ac:dyDescent="0.15">
      <c r="C529" s="3"/>
    </row>
    <row r="530" spans="3:3" ht="20" customHeight="1" x14ac:dyDescent="0.15">
      <c r="C530" s="3"/>
    </row>
    <row r="531" spans="3:3" ht="20" customHeight="1" x14ac:dyDescent="0.15">
      <c r="C531" s="3"/>
    </row>
    <row r="532" spans="3:3" ht="20" customHeight="1" x14ac:dyDescent="0.15">
      <c r="C532" s="3"/>
    </row>
    <row r="533" spans="3:3" ht="20" customHeight="1" x14ac:dyDescent="0.15">
      <c r="C533" s="3"/>
    </row>
    <row r="534" spans="3:3" ht="20" customHeight="1" x14ac:dyDescent="0.15">
      <c r="C534" s="3"/>
    </row>
    <row r="535" spans="3:3" ht="20" customHeight="1" x14ac:dyDescent="0.15">
      <c r="C535" s="3"/>
    </row>
    <row r="536" spans="3:3" ht="20" customHeight="1" x14ac:dyDescent="0.15">
      <c r="C536" s="3"/>
    </row>
    <row r="537" spans="3:3" ht="20" customHeight="1" x14ac:dyDescent="0.15">
      <c r="C537" s="3"/>
    </row>
    <row r="538" spans="3:3" ht="20" customHeight="1" x14ac:dyDescent="0.15">
      <c r="C538" s="3"/>
    </row>
    <row r="539" spans="3:3" ht="20" customHeight="1" x14ac:dyDescent="0.15">
      <c r="C539" s="3"/>
    </row>
    <row r="540" spans="3:3" ht="20" customHeight="1" x14ac:dyDescent="0.15">
      <c r="C540" s="3"/>
    </row>
    <row r="541" spans="3:3" ht="20" customHeight="1" x14ac:dyDescent="0.15">
      <c r="C541" s="3"/>
    </row>
    <row r="542" spans="3:3" ht="20" customHeight="1" x14ac:dyDescent="0.15">
      <c r="C542" s="3"/>
    </row>
    <row r="543" spans="3:3" ht="20" customHeight="1" x14ac:dyDescent="0.15">
      <c r="C543" s="3"/>
    </row>
    <row r="544" spans="3:3" ht="20" customHeight="1" x14ac:dyDescent="0.15">
      <c r="C544" s="3"/>
    </row>
    <row r="545" spans="3:3" ht="20" customHeight="1" x14ac:dyDescent="0.15">
      <c r="C545" s="3"/>
    </row>
    <row r="546" spans="3:3" ht="20" customHeight="1" x14ac:dyDescent="0.15">
      <c r="C546" s="3"/>
    </row>
    <row r="547" spans="3:3" ht="20" customHeight="1" x14ac:dyDescent="0.15">
      <c r="C547" s="3"/>
    </row>
    <row r="548" spans="3:3" ht="20" customHeight="1" x14ac:dyDescent="0.15">
      <c r="C548" s="3"/>
    </row>
    <row r="549" spans="3:3" ht="20" customHeight="1" x14ac:dyDescent="0.15">
      <c r="C549" s="3"/>
    </row>
    <row r="550" spans="3:3" ht="20" customHeight="1" x14ac:dyDescent="0.15">
      <c r="C550" s="3"/>
    </row>
    <row r="551" spans="3:3" ht="20" customHeight="1" x14ac:dyDescent="0.15">
      <c r="C551" s="3"/>
    </row>
    <row r="552" spans="3:3" ht="20" customHeight="1" x14ac:dyDescent="0.15">
      <c r="C552" s="3"/>
    </row>
    <row r="553" spans="3:3" ht="20" customHeight="1" x14ac:dyDescent="0.15">
      <c r="C553" s="3"/>
    </row>
    <row r="554" spans="3:3" ht="20" customHeight="1" x14ac:dyDescent="0.15">
      <c r="C554" s="3"/>
    </row>
    <row r="555" spans="3:3" ht="20" customHeight="1" x14ac:dyDescent="0.15">
      <c r="C555" s="3"/>
    </row>
    <row r="556" spans="3:3" ht="20" customHeight="1" x14ac:dyDescent="0.15">
      <c r="C556" s="3"/>
    </row>
    <row r="557" spans="3:3" ht="20" customHeight="1" x14ac:dyDescent="0.15">
      <c r="C557" s="3"/>
    </row>
    <row r="558" spans="3:3" ht="20" customHeight="1" x14ac:dyDescent="0.15">
      <c r="C558" s="3"/>
    </row>
    <row r="559" spans="3:3" ht="20" customHeight="1" x14ac:dyDescent="0.15">
      <c r="C559" s="3"/>
    </row>
    <row r="560" spans="3:3" ht="20" customHeight="1" x14ac:dyDescent="0.15">
      <c r="C560" s="3"/>
    </row>
    <row r="561" spans="1:3" ht="20" customHeight="1" x14ac:dyDescent="0.15">
      <c r="C561" s="3"/>
    </row>
    <row r="562" spans="1:3" ht="20" customHeight="1" x14ac:dyDescent="0.15">
      <c r="A562" s="3"/>
    </row>
    <row r="563" spans="1:3" ht="20" customHeight="1" x14ac:dyDescent="0.15">
      <c r="A563" s="3"/>
    </row>
  </sheetData>
  <autoFilter ref="A1:C56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E3B5-C113-D443-AEC2-4405C5EDD683}">
  <dimension ref="A1:J933"/>
  <sheetViews>
    <sheetView topLeftCell="C1" workbookViewId="0">
      <selection activeCell="I2" sqref="I2"/>
    </sheetView>
  </sheetViews>
  <sheetFormatPr baseColWidth="10" defaultRowHeight="13" x14ac:dyDescent="0.15"/>
  <cols>
    <col min="1" max="1" width="27" style="2" customWidth="1"/>
    <col min="7" max="7" width="10.83203125" style="4"/>
    <col min="9" max="9" width="10.83203125" style="4"/>
  </cols>
  <sheetData>
    <row r="1" spans="1:10" x14ac:dyDescent="0.15">
      <c r="A1" s="2" t="s">
        <v>1</v>
      </c>
      <c r="G1" s="4" t="s">
        <v>9</v>
      </c>
      <c r="I1" s="4" t="str">
        <f>LEFT(G1,LEN(G1)-1)</f>
        <v>GCA_000001405.15_GRCh38_no_alt_analysis_set.PanSN</v>
      </c>
      <c r="J1" t="b">
        <f>IF(COUNTIF('Sheet 1 - assemblies'!B:B,Sheet2!I1)=1,TRUE,FALSE)</f>
        <v>0</v>
      </c>
    </row>
    <row r="2" spans="1:10" x14ac:dyDescent="0.15">
      <c r="A2" s="2" t="s">
        <v>0</v>
      </c>
      <c r="B2">
        <f>COUNTIF('Sheet 1 - assemblies'!C:C,Sheet2!A2)</f>
        <v>0</v>
      </c>
      <c r="G2" s="4" t="s">
        <v>10</v>
      </c>
      <c r="I2" s="4" t="str">
        <f t="shared" ref="I2:I65" si="0">LEFT(G2,LEN(G2)-1)</f>
        <v>GCF_000001405.40_GRCh38.p14_genomic</v>
      </c>
      <c r="J2" t="b">
        <f>IF(COUNTIF('Sheet 1 - assemblies'!B:B,Sheet2!I2)=1,TRUE,FALSE)</f>
        <v>0</v>
      </c>
    </row>
    <row r="3" spans="1:10" x14ac:dyDescent="0.15">
      <c r="A3" s="3" t="s">
        <v>5</v>
      </c>
      <c r="B3">
        <f>COUNTIF('Sheet 1 - assemblies'!C:C,Sheet2!A3)</f>
        <v>0</v>
      </c>
      <c r="G3" s="4" t="s">
        <v>11</v>
      </c>
      <c r="I3" s="4" t="str">
        <f t="shared" si="0"/>
        <v>GCF_009914755.1</v>
      </c>
      <c r="J3" t="b">
        <f>IF(COUNTIF('Sheet 1 - assemblies'!B:B,Sheet2!I3)=1,TRUE,FALSE)</f>
        <v>0</v>
      </c>
    </row>
    <row r="4" spans="1:10" x14ac:dyDescent="0.15">
      <c r="A4" s="3" t="s">
        <v>7</v>
      </c>
      <c r="B4">
        <f>COUNTIF('Sheet 1 - assemblies'!C:C,Sheet2!A4)</f>
        <v>0</v>
      </c>
      <c r="G4" s="4" t="s">
        <v>12</v>
      </c>
      <c r="I4" s="4" t="str">
        <f t="shared" si="0"/>
        <v>HG00097_hap1_hprc_r2_v1.0.1</v>
      </c>
      <c r="J4" t="b">
        <f>IF(COUNTIF('Sheet 1 - assemblies'!B:B,Sheet2!I4)=1,TRUE,FALSE)</f>
        <v>0</v>
      </c>
    </row>
    <row r="5" spans="1:10" x14ac:dyDescent="0.15">
      <c r="A5" s="3" t="s">
        <v>6</v>
      </c>
      <c r="B5">
        <f>COUNTIF('Sheet 1 - assemblies'!C:C,Sheet2!A5)</f>
        <v>0</v>
      </c>
      <c r="G5" s="4" t="s">
        <v>13</v>
      </c>
      <c r="I5" s="4" t="str">
        <f t="shared" si="0"/>
        <v>HG00097_hap2_hprc_r2_v1.0.1</v>
      </c>
      <c r="J5" t="b">
        <f>IF(COUNTIF('Sheet 1 - assemblies'!B:B,Sheet2!I5)=1,TRUE,FALSE)</f>
        <v>0</v>
      </c>
    </row>
    <row r="6" spans="1:10" x14ac:dyDescent="0.15">
      <c r="A6" s="3" t="s">
        <v>4</v>
      </c>
      <c r="B6">
        <f>COUNTIF('Sheet 1 - assemblies'!C:C,Sheet2!A6)</f>
        <v>0</v>
      </c>
      <c r="G6" s="4" t="s">
        <v>14</v>
      </c>
      <c r="I6" s="4" t="str">
        <f t="shared" si="0"/>
        <v>HG00099_hap1_hprc_r2_v1.0.1</v>
      </c>
      <c r="J6" t="b">
        <f>IF(COUNTIF('Sheet 1 - assemblies'!B:B,Sheet2!I6)=1,TRUE,FALSE)</f>
        <v>0</v>
      </c>
    </row>
    <row r="7" spans="1:10" x14ac:dyDescent="0.15">
      <c r="A7" s="3" t="s">
        <v>8</v>
      </c>
      <c r="B7">
        <f>COUNTIF('Sheet 1 - assemblies'!C:C,Sheet2!A7)</f>
        <v>0</v>
      </c>
      <c r="G7" s="4" t="s">
        <v>15</v>
      </c>
      <c r="I7" s="4" t="str">
        <f t="shared" si="0"/>
        <v>HG00099_hap2_hprc_r2_v1.0.1</v>
      </c>
      <c r="J7" t="b">
        <f>IF(COUNTIF('Sheet 1 - assemblies'!B:B,Sheet2!I7)=1,TRUE,FALSE)</f>
        <v>0</v>
      </c>
    </row>
    <row r="8" spans="1:10" x14ac:dyDescent="0.15">
      <c r="A8"/>
      <c r="G8" s="4" t="s">
        <v>16</v>
      </c>
      <c r="I8" s="4" t="str">
        <f t="shared" si="0"/>
        <v>HG00126_hap1_hprc_r2_v1.0.1</v>
      </c>
      <c r="J8" t="b">
        <f>IF(COUNTIF('Sheet 1 - assemblies'!B:B,Sheet2!I8)=1,TRUE,FALSE)</f>
        <v>0</v>
      </c>
    </row>
    <row r="9" spans="1:10" x14ac:dyDescent="0.15">
      <c r="A9"/>
      <c r="G9" s="4" t="s">
        <v>17</v>
      </c>
      <c r="I9" s="4" t="str">
        <f t="shared" si="0"/>
        <v>HG00126_hap2_hprc_r2_v1.0.1</v>
      </c>
      <c r="J9" t="b">
        <f>IF(COUNTIF('Sheet 1 - assemblies'!B:B,Sheet2!I9)=1,TRUE,FALSE)</f>
        <v>0</v>
      </c>
    </row>
    <row r="10" spans="1:10" x14ac:dyDescent="0.15">
      <c r="A10"/>
      <c r="G10" s="4" t="s">
        <v>18</v>
      </c>
      <c r="I10" s="4" t="str">
        <f t="shared" si="0"/>
        <v>HG00128_hap1_hprc_r2_v1.0.1</v>
      </c>
      <c r="J10" t="b">
        <f>IF(COUNTIF('Sheet 1 - assemblies'!B:B,Sheet2!I10)=1,TRUE,FALSE)</f>
        <v>0</v>
      </c>
    </row>
    <row r="11" spans="1:10" x14ac:dyDescent="0.15">
      <c r="A11"/>
      <c r="G11" s="4" t="s">
        <v>19</v>
      </c>
      <c r="I11" s="4" t="str">
        <f t="shared" si="0"/>
        <v>HG00128_hap2_hprc_r2_v1.0.1</v>
      </c>
      <c r="J11" t="b">
        <f>IF(COUNTIF('Sheet 1 - assemblies'!B:B,Sheet2!I11)=1,TRUE,FALSE)</f>
        <v>0</v>
      </c>
    </row>
    <row r="12" spans="1:10" x14ac:dyDescent="0.15">
      <c r="A12"/>
      <c r="G12" s="4" t="s">
        <v>20</v>
      </c>
      <c r="I12" s="4" t="str">
        <f t="shared" si="0"/>
        <v>HG00133_hap1_hprc_r2_v1.0.1</v>
      </c>
      <c r="J12" t="b">
        <f>IF(COUNTIF('Sheet 1 - assemblies'!B:B,Sheet2!I12)=1,TRUE,FALSE)</f>
        <v>0</v>
      </c>
    </row>
    <row r="13" spans="1:10" x14ac:dyDescent="0.15">
      <c r="A13"/>
      <c r="G13" s="4" t="s">
        <v>21</v>
      </c>
      <c r="I13" s="4" t="str">
        <f t="shared" si="0"/>
        <v>HG00133_hap2_hprc_r2_v1.0.1</v>
      </c>
      <c r="J13" t="b">
        <f>IF(COUNTIF('Sheet 1 - assemblies'!B:B,Sheet2!I13)=1,TRUE,FALSE)</f>
        <v>0</v>
      </c>
    </row>
    <row r="14" spans="1:10" x14ac:dyDescent="0.15">
      <c r="A14"/>
      <c r="G14" s="4" t="s">
        <v>22</v>
      </c>
      <c r="I14" s="4" t="str">
        <f t="shared" si="0"/>
        <v>HG00140_hap1_hprc_r2_v1.0.1</v>
      </c>
      <c r="J14" t="b">
        <f>IF(COUNTIF('Sheet 1 - assemblies'!B:B,Sheet2!I14)=1,TRUE,FALSE)</f>
        <v>0</v>
      </c>
    </row>
    <row r="15" spans="1:10" x14ac:dyDescent="0.15">
      <c r="A15"/>
      <c r="G15" s="4" t="s">
        <v>23</v>
      </c>
      <c r="I15" s="4" t="str">
        <f t="shared" si="0"/>
        <v>HG00140_hap2_hprc_r2_v1.0.1</v>
      </c>
      <c r="J15" t="b">
        <f>IF(COUNTIF('Sheet 1 - assemblies'!B:B,Sheet2!I15)=1,TRUE,FALSE)</f>
        <v>0</v>
      </c>
    </row>
    <row r="16" spans="1:10" x14ac:dyDescent="0.15">
      <c r="A16"/>
      <c r="G16" s="4" t="s">
        <v>24</v>
      </c>
      <c r="I16" s="4" t="str">
        <f t="shared" si="0"/>
        <v>HG00146_hap1_hprc_r2_v1.0.1</v>
      </c>
      <c r="J16" t="b">
        <f>IF(COUNTIF('Sheet 1 - assemblies'!B:B,Sheet2!I16)=1,TRUE,FALSE)</f>
        <v>0</v>
      </c>
    </row>
    <row r="17" spans="1:10" x14ac:dyDescent="0.15">
      <c r="A17"/>
      <c r="G17" s="4" t="s">
        <v>25</v>
      </c>
      <c r="I17" s="4" t="str">
        <f t="shared" si="0"/>
        <v>HG00146_hap2_hprc_r2_v1.0.1</v>
      </c>
      <c r="J17" t="b">
        <f>IF(COUNTIF('Sheet 1 - assemblies'!B:B,Sheet2!I17)=1,TRUE,FALSE)</f>
        <v>0</v>
      </c>
    </row>
    <row r="18" spans="1:10" x14ac:dyDescent="0.15">
      <c r="A18"/>
      <c r="G18" s="4" t="s">
        <v>26</v>
      </c>
      <c r="I18" s="4" t="str">
        <f t="shared" si="0"/>
        <v>HG00232_hap1_hprc_r2_v1.0.1</v>
      </c>
      <c r="J18" t="b">
        <f>IF(COUNTIF('Sheet 1 - assemblies'!B:B,Sheet2!I18)=1,TRUE,FALSE)</f>
        <v>0</v>
      </c>
    </row>
    <row r="19" spans="1:10" x14ac:dyDescent="0.15">
      <c r="A19"/>
      <c r="G19" s="4" t="s">
        <v>27</v>
      </c>
      <c r="I19" s="4" t="str">
        <f t="shared" si="0"/>
        <v>HG00232_hap2_hprc_r2_v1.0.1</v>
      </c>
      <c r="J19" t="b">
        <f>IF(COUNTIF('Sheet 1 - assemblies'!B:B,Sheet2!I19)=1,TRUE,FALSE)</f>
        <v>0</v>
      </c>
    </row>
    <row r="20" spans="1:10" x14ac:dyDescent="0.15">
      <c r="A20"/>
      <c r="G20" s="4" t="s">
        <v>28</v>
      </c>
      <c r="I20" s="4" t="str">
        <f t="shared" si="0"/>
        <v>HG00235_hap1_hprc_r2_v1.0.1</v>
      </c>
      <c r="J20" t="b">
        <f>IF(COUNTIF('Sheet 1 - assemblies'!B:B,Sheet2!I20)=1,TRUE,FALSE)</f>
        <v>0</v>
      </c>
    </row>
    <row r="21" spans="1:10" x14ac:dyDescent="0.15">
      <c r="A21"/>
      <c r="G21" s="4" t="s">
        <v>29</v>
      </c>
      <c r="I21" s="4" t="str">
        <f t="shared" si="0"/>
        <v>HG00235_hap2_hprc_r2_v1.0.1</v>
      </c>
      <c r="J21" t="b">
        <f>IF(COUNTIF('Sheet 1 - assemblies'!B:B,Sheet2!I21)=1,TRUE,FALSE)</f>
        <v>0</v>
      </c>
    </row>
    <row r="22" spans="1:10" x14ac:dyDescent="0.15">
      <c r="A22"/>
      <c r="G22" s="4" t="s">
        <v>30</v>
      </c>
      <c r="I22" s="4" t="str">
        <f t="shared" si="0"/>
        <v>HG00253_hap1_hprc_r2_v1.0.1</v>
      </c>
      <c r="J22" t="b">
        <f>IF(COUNTIF('Sheet 1 - assemblies'!B:B,Sheet2!I22)=1,TRUE,FALSE)</f>
        <v>0</v>
      </c>
    </row>
    <row r="23" spans="1:10" x14ac:dyDescent="0.15">
      <c r="A23"/>
      <c r="G23" s="4" t="s">
        <v>31</v>
      </c>
      <c r="I23" s="4" t="str">
        <f t="shared" si="0"/>
        <v>HG00253_hap2_hprc_r2_v1.0.1</v>
      </c>
      <c r="J23" t="b">
        <f>IF(COUNTIF('Sheet 1 - assemblies'!B:B,Sheet2!I23)=1,TRUE,FALSE)</f>
        <v>0</v>
      </c>
    </row>
    <row r="24" spans="1:10" x14ac:dyDescent="0.15">
      <c r="A24"/>
      <c r="G24" s="4" t="s">
        <v>32</v>
      </c>
      <c r="I24" s="4" t="str">
        <f t="shared" si="0"/>
        <v>HG00272_hap1_hprc_r2_v1.0.1</v>
      </c>
      <c r="J24" t="b">
        <f>IF(COUNTIF('Sheet 1 - assemblies'!B:B,Sheet2!I24)=1,TRUE,FALSE)</f>
        <v>0</v>
      </c>
    </row>
    <row r="25" spans="1:10" x14ac:dyDescent="0.15">
      <c r="A25"/>
      <c r="G25" s="4" t="s">
        <v>33</v>
      </c>
      <c r="I25" s="4" t="str">
        <f t="shared" si="0"/>
        <v>HG00272_hap2_hprc_r2_v1.0.1</v>
      </c>
      <c r="J25" t="b">
        <f>IF(COUNTIF('Sheet 1 - assemblies'!B:B,Sheet2!I25)=1,TRUE,FALSE)</f>
        <v>0</v>
      </c>
    </row>
    <row r="26" spans="1:10" x14ac:dyDescent="0.15">
      <c r="A26"/>
      <c r="G26" s="4" t="s">
        <v>34</v>
      </c>
      <c r="I26" s="4" t="str">
        <f t="shared" si="0"/>
        <v>HG00280_hap1_hprc_r2_v1.0.1</v>
      </c>
      <c r="J26" t="b">
        <f>IF(COUNTIF('Sheet 1 - assemblies'!B:B,Sheet2!I26)=1,TRUE,FALSE)</f>
        <v>0</v>
      </c>
    </row>
    <row r="27" spans="1:10" x14ac:dyDescent="0.15">
      <c r="A27"/>
      <c r="G27" s="4" t="s">
        <v>35</v>
      </c>
      <c r="I27" s="4" t="str">
        <f t="shared" si="0"/>
        <v>HG00280_hap2_hprc_r2_v1.0.1</v>
      </c>
      <c r="J27" t="b">
        <f>IF(COUNTIF('Sheet 1 - assemblies'!B:B,Sheet2!I27)=1,TRUE,FALSE)</f>
        <v>0</v>
      </c>
    </row>
    <row r="28" spans="1:10" x14ac:dyDescent="0.15">
      <c r="A28"/>
      <c r="G28" s="4" t="s">
        <v>36</v>
      </c>
      <c r="I28" s="4" t="str">
        <f t="shared" si="0"/>
        <v>HG00290_hap1_hprc_r2_v1.0.1</v>
      </c>
      <c r="J28" t="b">
        <f>IF(COUNTIF('Sheet 1 - assemblies'!B:B,Sheet2!I28)=1,TRUE,FALSE)</f>
        <v>0</v>
      </c>
    </row>
    <row r="29" spans="1:10" x14ac:dyDescent="0.15">
      <c r="A29"/>
      <c r="G29" s="4" t="s">
        <v>37</v>
      </c>
      <c r="I29" s="4" t="str">
        <f t="shared" si="0"/>
        <v>HG00290_hap2_hprc_r2_v1.0.1</v>
      </c>
      <c r="J29" t="b">
        <f>IF(COUNTIF('Sheet 1 - assemblies'!B:B,Sheet2!I29)=1,TRUE,FALSE)</f>
        <v>0</v>
      </c>
    </row>
    <row r="30" spans="1:10" x14ac:dyDescent="0.15">
      <c r="A30"/>
      <c r="G30" s="4" t="s">
        <v>38</v>
      </c>
      <c r="I30" s="4" t="str">
        <f t="shared" si="0"/>
        <v>HG00320_hap1_hprc_r2_v1.0.1</v>
      </c>
      <c r="J30" t="b">
        <f>IF(COUNTIF('Sheet 1 - assemblies'!B:B,Sheet2!I30)=1,TRUE,FALSE)</f>
        <v>0</v>
      </c>
    </row>
    <row r="31" spans="1:10" x14ac:dyDescent="0.15">
      <c r="A31"/>
      <c r="G31" s="4" t="s">
        <v>39</v>
      </c>
      <c r="I31" s="4" t="str">
        <f t="shared" si="0"/>
        <v>HG00320_hap2_hprc_r2_v1.0.1</v>
      </c>
      <c r="J31" t="b">
        <f>IF(COUNTIF('Sheet 1 - assemblies'!B:B,Sheet2!I31)=1,TRUE,FALSE)</f>
        <v>0</v>
      </c>
    </row>
    <row r="32" spans="1:10" x14ac:dyDescent="0.15">
      <c r="A32"/>
      <c r="G32" s="4" t="s">
        <v>40</v>
      </c>
      <c r="I32" s="4" t="str">
        <f t="shared" si="0"/>
        <v>HG00321_hap1_hprc_r2_v1.0.1</v>
      </c>
      <c r="J32" t="b">
        <f>IF(COUNTIF('Sheet 1 - assemblies'!B:B,Sheet2!I32)=1,TRUE,FALSE)</f>
        <v>0</v>
      </c>
    </row>
    <row r="33" spans="1:10" x14ac:dyDescent="0.15">
      <c r="A33"/>
      <c r="G33" s="4" t="s">
        <v>41</v>
      </c>
      <c r="I33" s="4" t="str">
        <f t="shared" si="0"/>
        <v>HG00321_hap2_hprc_r2_v1.0.1</v>
      </c>
      <c r="J33" t="b">
        <f>IF(COUNTIF('Sheet 1 - assemblies'!B:B,Sheet2!I33)=1,TRUE,FALSE)</f>
        <v>0</v>
      </c>
    </row>
    <row r="34" spans="1:10" x14ac:dyDescent="0.15">
      <c r="A34"/>
      <c r="G34" s="4" t="s">
        <v>42</v>
      </c>
      <c r="I34" s="4" t="str">
        <f t="shared" si="0"/>
        <v>HG00323_hap1_hprc_r2_v1.0.1</v>
      </c>
      <c r="J34" t="b">
        <f>IF(COUNTIF('Sheet 1 - assemblies'!B:B,Sheet2!I34)=1,TRUE,FALSE)</f>
        <v>0</v>
      </c>
    </row>
    <row r="35" spans="1:10" x14ac:dyDescent="0.15">
      <c r="A35"/>
      <c r="G35" s="4" t="s">
        <v>43</v>
      </c>
      <c r="I35" s="4" t="str">
        <f t="shared" si="0"/>
        <v>HG00323_hap2_hprc_r2_v1.0.1</v>
      </c>
      <c r="J35" t="b">
        <f>IF(COUNTIF('Sheet 1 - assemblies'!B:B,Sheet2!I35)=1,TRUE,FALSE)</f>
        <v>0</v>
      </c>
    </row>
    <row r="36" spans="1:10" x14ac:dyDescent="0.15">
      <c r="A36"/>
      <c r="G36" s="4" t="s">
        <v>44</v>
      </c>
      <c r="I36" s="4" t="str">
        <f t="shared" si="0"/>
        <v>HG00329_hap1_hprc_r2_v1.0.1</v>
      </c>
      <c r="J36" t="b">
        <f>IF(COUNTIF('Sheet 1 - assemblies'!B:B,Sheet2!I36)=1,TRUE,FALSE)</f>
        <v>0</v>
      </c>
    </row>
    <row r="37" spans="1:10" x14ac:dyDescent="0.15">
      <c r="A37"/>
      <c r="G37" s="4" t="s">
        <v>45</v>
      </c>
      <c r="I37" s="4" t="str">
        <f t="shared" si="0"/>
        <v>HG00329_hap2_hprc_r2_v1.0.1</v>
      </c>
      <c r="J37" t="b">
        <f>IF(COUNTIF('Sheet 1 - assemblies'!B:B,Sheet2!I37)=1,TRUE,FALSE)</f>
        <v>0</v>
      </c>
    </row>
    <row r="38" spans="1:10" x14ac:dyDescent="0.15">
      <c r="A38"/>
      <c r="G38" s="4" t="s">
        <v>46</v>
      </c>
      <c r="I38" s="4" t="str">
        <f t="shared" si="0"/>
        <v>HG00344_hap1_hprc_r2_v1.0.1</v>
      </c>
      <c r="J38" t="b">
        <f>IF(COUNTIF('Sheet 1 - assemblies'!B:B,Sheet2!I38)=1,TRUE,FALSE)</f>
        <v>0</v>
      </c>
    </row>
    <row r="39" spans="1:10" x14ac:dyDescent="0.15">
      <c r="A39"/>
      <c r="G39" s="4" t="s">
        <v>47</v>
      </c>
      <c r="I39" s="4" t="str">
        <f t="shared" si="0"/>
        <v>HG00344_hap2_hprc_r2_v1.0.1</v>
      </c>
      <c r="J39" t="b">
        <f>IF(COUNTIF('Sheet 1 - assemblies'!B:B,Sheet2!I39)=1,TRUE,FALSE)</f>
        <v>0</v>
      </c>
    </row>
    <row r="40" spans="1:10" x14ac:dyDescent="0.15">
      <c r="A40"/>
      <c r="G40" s="4" t="s">
        <v>48</v>
      </c>
      <c r="I40" s="4" t="str">
        <f t="shared" si="0"/>
        <v>HG00350_hap1_hprc_r2_v1.0.1</v>
      </c>
      <c r="J40" t="b">
        <f>IF(COUNTIF('Sheet 1 - assemblies'!B:B,Sheet2!I40)=1,TRUE,FALSE)</f>
        <v>0</v>
      </c>
    </row>
    <row r="41" spans="1:10" x14ac:dyDescent="0.15">
      <c r="A41"/>
      <c r="G41" s="4" t="s">
        <v>49</v>
      </c>
      <c r="I41" s="4" t="str">
        <f t="shared" si="0"/>
        <v>HG00350_hap2_hprc_r2_v1.0.1</v>
      </c>
      <c r="J41" t="b">
        <f>IF(COUNTIF('Sheet 1 - assemblies'!B:B,Sheet2!I41)=1,TRUE,FALSE)</f>
        <v>0</v>
      </c>
    </row>
    <row r="42" spans="1:10" x14ac:dyDescent="0.15">
      <c r="A42"/>
      <c r="G42" s="4" t="s">
        <v>50</v>
      </c>
      <c r="I42" s="4" t="str">
        <f t="shared" si="0"/>
        <v>HG00408_mat_hprc_r2_v1.0.1</v>
      </c>
      <c r="J42" t="b">
        <f>IF(COUNTIF('Sheet 1 - assemblies'!B:B,Sheet2!I42)=1,TRUE,FALSE)</f>
        <v>0</v>
      </c>
    </row>
    <row r="43" spans="1:10" x14ac:dyDescent="0.15">
      <c r="A43"/>
      <c r="G43" s="4" t="s">
        <v>51</v>
      </c>
      <c r="I43" s="4" t="str">
        <f t="shared" si="0"/>
        <v>HG00408_pat_hprc_r2_v1.0.1</v>
      </c>
      <c r="J43" t="b">
        <f>IF(COUNTIF('Sheet 1 - assemblies'!B:B,Sheet2!I43)=1,TRUE,FALSE)</f>
        <v>0</v>
      </c>
    </row>
    <row r="44" spans="1:10" x14ac:dyDescent="0.15">
      <c r="A44"/>
      <c r="G44" s="4" t="s">
        <v>52</v>
      </c>
      <c r="I44" s="4" t="str">
        <f t="shared" si="0"/>
        <v>HG00423_mat_hprc_r2_v1.0.1</v>
      </c>
      <c r="J44" t="b">
        <f>IF(COUNTIF('Sheet 1 - assemblies'!B:B,Sheet2!I44)=1,TRUE,FALSE)</f>
        <v>0</v>
      </c>
    </row>
    <row r="45" spans="1:10" x14ac:dyDescent="0.15">
      <c r="A45"/>
      <c r="G45" s="4" t="s">
        <v>53</v>
      </c>
      <c r="I45" s="4" t="str">
        <f t="shared" si="0"/>
        <v>HG00423_pat_hprc_r2_v1.0.1</v>
      </c>
      <c r="J45" t="b">
        <f>IF(COUNTIF('Sheet 1 - assemblies'!B:B,Sheet2!I45)=1,TRUE,FALSE)</f>
        <v>0</v>
      </c>
    </row>
    <row r="46" spans="1:10" x14ac:dyDescent="0.15">
      <c r="A46"/>
      <c r="G46" s="4" t="s">
        <v>54</v>
      </c>
      <c r="I46" s="4" t="str">
        <f t="shared" si="0"/>
        <v>HG00438_mat_hprc_r2_v1.0.1</v>
      </c>
      <c r="J46" t="b">
        <f>IF(COUNTIF('Sheet 1 - assemblies'!B:B,Sheet2!I46)=1,TRUE,FALSE)</f>
        <v>0</v>
      </c>
    </row>
    <row r="47" spans="1:10" x14ac:dyDescent="0.15">
      <c r="A47"/>
      <c r="G47" s="4" t="s">
        <v>55</v>
      </c>
      <c r="I47" s="4" t="str">
        <f t="shared" si="0"/>
        <v>HG00438_pat_hprc_r2_v1.0.1</v>
      </c>
      <c r="J47" t="b">
        <f>IF(COUNTIF('Sheet 1 - assemblies'!B:B,Sheet2!I47)=1,TRUE,FALSE)</f>
        <v>0</v>
      </c>
    </row>
    <row r="48" spans="1:10" x14ac:dyDescent="0.15">
      <c r="A48"/>
      <c r="G48" s="4" t="s">
        <v>56</v>
      </c>
      <c r="I48" s="4" t="str">
        <f t="shared" si="0"/>
        <v>HG00544_mat_hprc_r2_v1.0.1</v>
      </c>
      <c r="J48" t="b">
        <f>IF(COUNTIF('Sheet 1 - assemblies'!B:B,Sheet2!I48)=1,TRUE,FALSE)</f>
        <v>0</v>
      </c>
    </row>
    <row r="49" spans="1:10" x14ac:dyDescent="0.15">
      <c r="A49"/>
      <c r="G49" s="4" t="s">
        <v>57</v>
      </c>
      <c r="I49" s="4" t="str">
        <f t="shared" si="0"/>
        <v>HG00544_pat_hprc_r2_v1.0.1</v>
      </c>
      <c r="J49" t="b">
        <f>IF(COUNTIF('Sheet 1 - assemblies'!B:B,Sheet2!I49)=1,TRUE,FALSE)</f>
        <v>0</v>
      </c>
    </row>
    <row r="50" spans="1:10" x14ac:dyDescent="0.15">
      <c r="A50"/>
      <c r="G50" s="4" t="s">
        <v>58</v>
      </c>
      <c r="I50" s="4" t="str">
        <f t="shared" si="0"/>
        <v>HG00558_mat_hprc_r2_v1.0.1</v>
      </c>
      <c r="J50" t="b">
        <f>IF(COUNTIF('Sheet 1 - assemblies'!B:B,Sheet2!I50)=1,TRUE,FALSE)</f>
        <v>0</v>
      </c>
    </row>
    <row r="51" spans="1:10" x14ac:dyDescent="0.15">
      <c r="A51"/>
      <c r="G51" s="4" t="s">
        <v>59</v>
      </c>
      <c r="I51" s="4" t="str">
        <f t="shared" si="0"/>
        <v>HG00558_pat_hprc_r2_v1.0.1</v>
      </c>
      <c r="J51" t="b">
        <f>IF(COUNTIF('Sheet 1 - assemblies'!B:B,Sheet2!I51)=1,TRUE,FALSE)</f>
        <v>0</v>
      </c>
    </row>
    <row r="52" spans="1:10" x14ac:dyDescent="0.15">
      <c r="A52"/>
      <c r="G52" s="4" t="s">
        <v>60</v>
      </c>
      <c r="I52" s="4" t="str">
        <f t="shared" si="0"/>
        <v>HG00597_mat_hprc_r2_v1.0.1</v>
      </c>
      <c r="J52" t="b">
        <f>IF(COUNTIF('Sheet 1 - assemblies'!B:B,Sheet2!I52)=1,TRUE,FALSE)</f>
        <v>0</v>
      </c>
    </row>
    <row r="53" spans="1:10" x14ac:dyDescent="0.15">
      <c r="A53"/>
      <c r="G53" s="4" t="s">
        <v>61</v>
      </c>
      <c r="I53" s="4" t="str">
        <f t="shared" si="0"/>
        <v>HG00597_pat_hprc_r2_v1.0.1</v>
      </c>
      <c r="J53" t="b">
        <f>IF(COUNTIF('Sheet 1 - assemblies'!B:B,Sheet2!I53)=1,TRUE,FALSE)</f>
        <v>0</v>
      </c>
    </row>
    <row r="54" spans="1:10" x14ac:dyDescent="0.15">
      <c r="A54"/>
      <c r="G54" s="4" t="s">
        <v>62</v>
      </c>
      <c r="I54" s="4" t="str">
        <f t="shared" si="0"/>
        <v>HG005_mat_hprc_r2_v1.0.1</v>
      </c>
      <c r="J54" t="b">
        <f>IF(COUNTIF('Sheet 1 - assemblies'!B:B,Sheet2!I54)=1,TRUE,FALSE)</f>
        <v>0</v>
      </c>
    </row>
    <row r="55" spans="1:10" x14ac:dyDescent="0.15">
      <c r="A55"/>
      <c r="G55" s="4" t="s">
        <v>63</v>
      </c>
      <c r="I55" s="4" t="str">
        <f t="shared" si="0"/>
        <v>HG005_pat_hprc_r2_v1.0.1</v>
      </c>
      <c r="J55" t="b">
        <f>IF(COUNTIF('Sheet 1 - assemblies'!B:B,Sheet2!I55)=1,TRUE,FALSE)</f>
        <v>0</v>
      </c>
    </row>
    <row r="56" spans="1:10" x14ac:dyDescent="0.15">
      <c r="A56"/>
      <c r="G56" s="4" t="s">
        <v>64</v>
      </c>
      <c r="I56" s="4" t="str">
        <f t="shared" si="0"/>
        <v>HG00609_mat_hprc_r2_v1.0.1</v>
      </c>
      <c r="J56" t="b">
        <f>IF(COUNTIF('Sheet 1 - assemblies'!B:B,Sheet2!I56)=1,TRUE,FALSE)</f>
        <v>0</v>
      </c>
    </row>
    <row r="57" spans="1:10" x14ac:dyDescent="0.15">
      <c r="A57"/>
      <c r="G57" s="4" t="s">
        <v>65</v>
      </c>
      <c r="I57" s="4" t="str">
        <f t="shared" si="0"/>
        <v>HG00609_pat_hprc_r2_v1.0.1</v>
      </c>
      <c r="J57" t="b">
        <f>IF(COUNTIF('Sheet 1 - assemblies'!B:B,Sheet2!I57)=1,TRUE,FALSE)</f>
        <v>0</v>
      </c>
    </row>
    <row r="58" spans="1:10" x14ac:dyDescent="0.15">
      <c r="A58"/>
      <c r="G58" s="4" t="s">
        <v>66</v>
      </c>
      <c r="I58" s="4" t="str">
        <f t="shared" si="0"/>
        <v>HG00621_mat_hprc_r2_v1.0.1</v>
      </c>
      <c r="J58" t="b">
        <f>IF(COUNTIF('Sheet 1 - assemblies'!B:B,Sheet2!I58)=1,TRUE,FALSE)</f>
        <v>0</v>
      </c>
    </row>
    <row r="59" spans="1:10" x14ac:dyDescent="0.15">
      <c r="A59"/>
      <c r="G59" s="4" t="s">
        <v>67</v>
      </c>
      <c r="I59" s="4" t="str">
        <f t="shared" si="0"/>
        <v>HG00621_pat_hprc_r2_v1.0.1</v>
      </c>
      <c r="J59" t="b">
        <f>IF(COUNTIF('Sheet 1 - assemblies'!B:B,Sheet2!I59)=1,TRUE,FALSE)</f>
        <v>0</v>
      </c>
    </row>
    <row r="60" spans="1:10" x14ac:dyDescent="0.15">
      <c r="A60"/>
      <c r="G60" s="4" t="s">
        <v>68</v>
      </c>
      <c r="I60" s="4" t="str">
        <f t="shared" si="0"/>
        <v>HG00639_mat_hprc_r2_v1.0.1</v>
      </c>
      <c r="J60" t="b">
        <f>IF(COUNTIF('Sheet 1 - assemblies'!B:B,Sheet2!I60)=1,TRUE,FALSE)</f>
        <v>0</v>
      </c>
    </row>
    <row r="61" spans="1:10" x14ac:dyDescent="0.15">
      <c r="A61"/>
      <c r="G61" s="4" t="s">
        <v>69</v>
      </c>
      <c r="I61" s="4" t="str">
        <f t="shared" si="0"/>
        <v>HG00639_pat_hprc_r2_v1.0.1</v>
      </c>
      <c r="J61" t="b">
        <f>IF(COUNTIF('Sheet 1 - assemblies'!B:B,Sheet2!I61)=1,TRUE,FALSE)</f>
        <v>0</v>
      </c>
    </row>
    <row r="62" spans="1:10" x14ac:dyDescent="0.15">
      <c r="A62"/>
      <c r="G62" s="4" t="s">
        <v>70</v>
      </c>
      <c r="I62" s="4" t="str">
        <f t="shared" si="0"/>
        <v>HG00642_mat_hprc_r2_v1.0.1</v>
      </c>
      <c r="J62" t="b">
        <f>IF(COUNTIF('Sheet 1 - assemblies'!B:B,Sheet2!I62)=1,TRUE,FALSE)</f>
        <v>0</v>
      </c>
    </row>
    <row r="63" spans="1:10" x14ac:dyDescent="0.15">
      <c r="A63"/>
      <c r="G63" s="4" t="s">
        <v>71</v>
      </c>
      <c r="I63" s="4" t="str">
        <f t="shared" si="0"/>
        <v>HG00642_pat_hprc_r2_v1.0.1</v>
      </c>
      <c r="J63" t="b">
        <f>IF(COUNTIF('Sheet 1 - assemblies'!B:B,Sheet2!I63)=1,TRUE,FALSE)</f>
        <v>0</v>
      </c>
    </row>
    <row r="64" spans="1:10" x14ac:dyDescent="0.15">
      <c r="A64"/>
      <c r="G64" s="4" t="s">
        <v>72</v>
      </c>
      <c r="I64" s="4" t="str">
        <f t="shared" si="0"/>
        <v>HG00658_mat_hprc_r2_v1.0.1</v>
      </c>
      <c r="J64" t="b">
        <f>IF(COUNTIF('Sheet 1 - assemblies'!B:B,Sheet2!I64)=1,TRUE,FALSE)</f>
        <v>0</v>
      </c>
    </row>
    <row r="65" spans="1:10" x14ac:dyDescent="0.15">
      <c r="A65"/>
      <c r="G65" s="4" t="s">
        <v>73</v>
      </c>
      <c r="I65" s="4" t="str">
        <f t="shared" si="0"/>
        <v>HG00658_pat_hprc_r2_v1.0.1</v>
      </c>
      <c r="J65" t="b">
        <f>IF(COUNTIF('Sheet 1 - assemblies'!B:B,Sheet2!I65)=1,TRUE,FALSE)</f>
        <v>0</v>
      </c>
    </row>
    <row r="66" spans="1:10" x14ac:dyDescent="0.15">
      <c r="A66"/>
      <c r="G66" s="4" t="s">
        <v>74</v>
      </c>
      <c r="I66" s="4" t="str">
        <f t="shared" ref="I66:I129" si="1">LEFT(G66,LEN(G66)-1)</f>
        <v>HG00673_mat_hprc_r2_v1.0.1</v>
      </c>
      <c r="J66" t="b">
        <f>IF(COUNTIF('Sheet 1 - assemblies'!B:B,Sheet2!I66)=1,TRUE,FALSE)</f>
        <v>0</v>
      </c>
    </row>
    <row r="67" spans="1:10" x14ac:dyDescent="0.15">
      <c r="A67"/>
      <c r="G67" s="4" t="s">
        <v>75</v>
      </c>
      <c r="I67" s="4" t="str">
        <f t="shared" si="1"/>
        <v>HG00673_pat_hprc_r2_v1.0.1</v>
      </c>
      <c r="J67" t="b">
        <f>IF(COUNTIF('Sheet 1 - assemblies'!B:B,Sheet2!I67)=1,TRUE,FALSE)</f>
        <v>0</v>
      </c>
    </row>
    <row r="68" spans="1:10" x14ac:dyDescent="0.15">
      <c r="A68"/>
      <c r="G68" s="4" t="s">
        <v>76</v>
      </c>
      <c r="I68" s="4" t="str">
        <f t="shared" si="1"/>
        <v>HG00706_mat_hprc_r2_v1.0.1</v>
      </c>
      <c r="J68" t="b">
        <f>IF(COUNTIF('Sheet 1 - assemblies'!B:B,Sheet2!I68)=1,TRUE,FALSE)</f>
        <v>0</v>
      </c>
    </row>
    <row r="69" spans="1:10" x14ac:dyDescent="0.15">
      <c r="A69"/>
      <c r="G69" s="4" t="s">
        <v>77</v>
      </c>
      <c r="I69" s="4" t="str">
        <f t="shared" si="1"/>
        <v>HG00706_pat_hprc_r2_v1.0.1</v>
      </c>
      <c r="J69" t="b">
        <f>IF(COUNTIF('Sheet 1 - assemblies'!B:B,Sheet2!I69)=1,TRUE,FALSE)</f>
        <v>0</v>
      </c>
    </row>
    <row r="70" spans="1:10" x14ac:dyDescent="0.15">
      <c r="A70"/>
      <c r="G70" s="4" t="s">
        <v>78</v>
      </c>
      <c r="I70" s="4" t="str">
        <f t="shared" si="1"/>
        <v>HG00733_mat_hprc_r2_v1.0.1</v>
      </c>
      <c r="J70" t="b">
        <f>IF(COUNTIF('Sheet 1 - assemblies'!B:B,Sheet2!I70)=1,TRUE,FALSE)</f>
        <v>0</v>
      </c>
    </row>
    <row r="71" spans="1:10" x14ac:dyDescent="0.15">
      <c r="A71"/>
      <c r="G71" s="4" t="s">
        <v>79</v>
      </c>
      <c r="I71" s="4" t="str">
        <f t="shared" si="1"/>
        <v>HG00733_pat_hprc_r2_v1.0.1</v>
      </c>
      <c r="J71" t="b">
        <f>IF(COUNTIF('Sheet 1 - assemblies'!B:B,Sheet2!I71)=1,TRUE,FALSE)</f>
        <v>0</v>
      </c>
    </row>
    <row r="72" spans="1:10" x14ac:dyDescent="0.15">
      <c r="A72"/>
      <c r="G72" s="4" t="s">
        <v>80</v>
      </c>
      <c r="I72" s="4" t="str">
        <f t="shared" si="1"/>
        <v>HG00735_mat_hprc_r2_v1.0.1</v>
      </c>
      <c r="J72" t="b">
        <f>IF(COUNTIF('Sheet 1 - assemblies'!B:B,Sheet2!I72)=1,TRUE,FALSE)</f>
        <v>0</v>
      </c>
    </row>
    <row r="73" spans="1:10" x14ac:dyDescent="0.15">
      <c r="A73"/>
      <c r="G73" s="4" t="s">
        <v>81</v>
      </c>
      <c r="I73" s="4" t="str">
        <f t="shared" si="1"/>
        <v>HG00735_pat_hprc_r2_v1.0.1</v>
      </c>
      <c r="J73" t="b">
        <f>IF(COUNTIF('Sheet 1 - assemblies'!B:B,Sheet2!I73)=1,TRUE,FALSE)</f>
        <v>0</v>
      </c>
    </row>
    <row r="74" spans="1:10" x14ac:dyDescent="0.15">
      <c r="A74"/>
      <c r="G74" s="4" t="s">
        <v>82</v>
      </c>
      <c r="I74" s="4" t="str">
        <f t="shared" si="1"/>
        <v>HG00738_mat_hprc_r2_v1.0.1</v>
      </c>
      <c r="J74" t="b">
        <f>IF(COUNTIF('Sheet 1 - assemblies'!B:B,Sheet2!I74)=1,TRUE,FALSE)</f>
        <v>0</v>
      </c>
    </row>
    <row r="75" spans="1:10" x14ac:dyDescent="0.15">
      <c r="A75"/>
      <c r="G75" s="4" t="s">
        <v>83</v>
      </c>
      <c r="I75" s="4" t="str">
        <f t="shared" si="1"/>
        <v>HG00738_pat_hprc_r2_v1.0.1</v>
      </c>
      <c r="J75" t="b">
        <f>IF(COUNTIF('Sheet 1 - assemblies'!B:B,Sheet2!I75)=1,TRUE,FALSE)</f>
        <v>0</v>
      </c>
    </row>
    <row r="76" spans="1:10" x14ac:dyDescent="0.15">
      <c r="A76"/>
      <c r="G76" s="4" t="s">
        <v>84</v>
      </c>
      <c r="I76" s="4" t="str">
        <f t="shared" si="1"/>
        <v>HG00741_mat_hprc_r2_v1.0.1</v>
      </c>
      <c r="J76" t="b">
        <f>IF(COUNTIF('Sheet 1 - assemblies'!B:B,Sheet2!I76)=1,TRUE,FALSE)</f>
        <v>0</v>
      </c>
    </row>
    <row r="77" spans="1:10" x14ac:dyDescent="0.15">
      <c r="A77"/>
      <c r="G77" s="4" t="s">
        <v>85</v>
      </c>
      <c r="I77" s="4" t="str">
        <f t="shared" si="1"/>
        <v>HG00741_pat_hprc_r2_v1.0.1</v>
      </c>
      <c r="J77" t="b">
        <f>IF(COUNTIF('Sheet 1 - assemblies'!B:B,Sheet2!I77)=1,TRUE,FALSE)</f>
        <v>0</v>
      </c>
    </row>
    <row r="78" spans="1:10" x14ac:dyDescent="0.15">
      <c r="A78"/>
      <c r="G78" s="4" t="s">
        <v>86</v>
      </c>
      <c r="I78" s="4" t="str">
        <f t="shared" si="1"/>
        <v>HG01071_mat_hprc_r2_v1.0.1</v>
      </c>
      <c r="J78" t="b">
        <f>IF(COUNTIF('Sheet 1 - assemblies'!B:B,Sheet2!I78)=1,TRUE,FALSE)</f>
        <v>0</v>
      </c>
    </row>
    <row r="79" spans="1:10" x14ac:dyDescent="0.15">
      <c r="A79"/>
      <c r="G79" s="4" t="s">
        <v>87</v>
      </c>
      <c r="I79" s="4" t="str">
        <f t="shared" si="1"/>
        <v>HG01071_pat_hprc_r2_v1.0.1</v>
      </c>
      <c r="J79" t="b">
        <f>IF(COUNTIF('Sheet 1 - assemblies'!B:B,Sheet2!I79)=1,TRUE,FALSE)</f>
        <v>0</v>
      </c>
    </row>
    <row r="80" spans="1:10" x14ac:dyDescent="0.15">
      <c r="A80"/>
      <c r="G80" s="4" t="s">
        <v>88</v>
      </c>
      <c r="I80" s="4" t="str">
        <f t="shared" si="1"/>
        <v>HG01074_mat_hprc_r2_v1.0.1</v>
      </c>
      <c r="J80" t="b">
        <f>IF(COUNTIF('Sheet 1 - assemblies'!B:B,Sheet2!I80)=1,TRUE,FALSE)</f>
        <v>0</v>
      </c>
    </row>
    <row r="81" spans="1:10" x14ac:dyDescent="0.15">
      <c r="A81"/>
      <c r="G81" s="4" t="s">
        <v>89</v>
      </c>
      <c r="I81" s="4" t="str">
        <f t="shared" si="1"/>
        <v>HG01074_pat_hprc_r2_v1.0.1</v>
      </c>
      <c r="J81" t="b">
        <f>IF(COUNTIF('Sheet 1 - assemblies'!B:B,Sheet2!I81)=1,TRUE,FALSE)</f>
        <v>0</v>
      </c>
    </row>
    <row r="82" spans="1:10" x14ac:dyDescent="0.15">
      <c r="A82"/>
      <c r="G82" s="4" t="s">
        <v>90</v>
      </c>
      <c r="I82" s="4" t="str">
        <f t="shared" si="1"/>
        <v>HG01081_mat_hprc_r2_v1.0.1</v>
      </c>
      <c r="J82" t="b">
        <f>IF(COUNTIF('Sheet 1 - assemblies'!B:B,Sheet2!I82)=1,TRUE,FALSE)</f>
        <v>0</v>
      </c>
    </row>
    <row r="83" spans="1:10" x14ac:dyDescent="0.15">
      <c r="A83"/>
      <c r="G83" s="4" t="s">
        <v>91</v>
      </c>
      <c r="I83" s="4" t="str">
        <f t="shared" si="1"/>
        <v>HG01081_pat_hprc_r2_v1.0.1</v>
      </c>
      <c r="J83" t="b">
        <f>IF(COUNTIF('Sheet 1 - assemblies'!B:B,Sheet2!I83)=1,TRUE,FALSE)</f>
        <v>0</v>
      </c>
    </row>
    <row r="84" spans="1:10" x14ac:dyDescent="0.15">
      <c r="A84"/>
      <c r="G84" s="4" t="s">
        <v>92</v>
      </c>
      <c r="I84" s="4" t="str">
        <f t="shared" si="1"/>
        <v>HG01099_mat_hprc_r2_v1.0.1</v>
      </c>
      <c r="J84" t="b">
        <f>IF(COUNTIF('Sheet 1 - assemblies'!B:B,Sheet2!I84)=1,TRUE,FALSE)</f>
        <v>0</v>
      </c>
    </row>
    <row r="85" spans="1:10" x14ac:dyDescent="0.15">
      <c r="A85"/>
      <c r="G85" s="4" t="s">
        <v>93</v>
      </c>
      <c r="I85" s="4" t="str">
        <f t="shared" si="1"/>
        <v>HG01099_pat_hprc_r2_v1.0.1</v>
      </c>
      <c r="J85" t="b">
        <f>IF(COUNTIF('Sheet 1 - assemblies'!B:B,Sheet2!I85)=1,TRUE,FALSE)</f>
        <v>0</v>
      </c>
    </row>
    <row r="86" spans="1:10" x14ac:dyDescent="0.15">
      <c r="A86"/>
      <c r="G86" s="4" t="s">
        <v>94</v>
      </c>
      <c r="I86" s="4" t="str">
        <f t="shared" si="1"/>
        <v>HG01106_mat_hprc_r2_v1.0.1</v>
      </c>
      <c r="J86" t="b">
        <f>IF(COUNTIF('Sheet 1 - assemblies'!B:B,Sheet2!I86)=1,TRUE,FALSE)</f>
        <v>0</v>
      </c>
    </row>
    <row r="87" spans="1:10" x14ac:dyDescent="0.15">
      <c r="A87"/>
      <c r="G87" s="4" t="s">
        <v>95</v>
      </c>
      <c r="I87" s="4" t="str">
        <f t="shared" si="1"/>
        <v>HG01106_pat_hprc_r2_v1.0.1</v>
      </c>
      <c r="J87" t="b">
        <f>IF(COUNTIF('Sheet 1 - assemblies'!B:B,Sheet2!I87)=1,TRUE,FALSE)</f>
        <v>0</v>
      </c>
    </row>
    <row r="88" spans="1:10" x14ac:dyDescent="0.15">
      <c r="A88"/>
      <c r="G88" s="4" t="s">
        <v>96</v>
      </c>
      <c r="I88" s="4" t="str">
        <f t="shared" si="1"/>
        <v>HG01109_mat_hprc_r2_v1.0.1</v>
      </c>
      <c r="J88" t="b">
        <f>IF(COUNTIF('Sheet 1 - assemblies'!B:B,Sheet2!I88)=1,TRUE,FALSE)</f>
        <v>0</v>
      </c>
    </row>
    <row r="89" spans="1:10" x14ac:dyDescent="0.15">
      <c r="A89"/>
      <c r="G89" s="4" t="s">
        <v>97</v>
      </c>
      <c r="I89" s="4" t="str">
        <f t="shared" si="1"/>
        <v>HG01109_pat_hprc_r2_v1.0.1</v>
      </c>
      <c r="J89" t="b">
        <f>IF(COUNTIF('Sheet 1 - assemblies'!B:B,Sheet2!I89)=1,TRUE,FALSE)</f>
        <v>0</v>
      </c>
    </row>
    <row r="90" spans="1:10" x14ac:dyDescent="0.15">
      <c r="A90"/>
      <c r="G90" s="4" t="s">
        <v>98</v>
      </c>
      <c r="I90" s="4" t="str">
        <f t="shared" si="1"/>
        <v>HG01123_mat_hprc_r2_v1.0.1</v>
      </c>
      <c r="J90" t="b">
        <f>IF(COUNTIF('Sheet 1 - assemblies'!B:B,Sheet2!I90)=1,TRUE,FALSE)</f>
        <v>0</v>
      </c>
    </row>
    <row r="91" spans="1:10" x14ac:dyDescent="0.15">
      <c r="A91"/>
      <c r="G91" s="4" t="s">
        <v>99</v>
      </c>
      <c r="I91" s="4" t="str">
        <f t="shared" si="1"/>
        <v>HG01123_pat_hprc_r2_v1.0.1</v>
      </c>
      <c r="J91" t="b">
        <f>IF(COUNTIF('Sheet 1 - assemblies'!B:B,Sheet2!I91)=1,TRUE,FALSE)</f>
        <v>0</v>
      </c>
    </row>
    <row r="92" spans="1:10" x14ac:dyDescent="0.15">
      <c r="A92"/>
      <c r="G92" s="4" t="s">
        <v>100</v>
      </c>
      <c r="I92" s="4" t="str">
        <f t="shared" si="1"/>
        <v>HG01150_mat_hprc_r2_v1.0.1</v>
      </c>
      <c r="J92" t="b">
        <f>IF(COUNTIF('Sheet 1 - assemblies'!B:B,Sheet2!I92)=1,TRUE,FALSE)</f>
        <v>0</v>
      </c>
    </row>
    <row r="93" spans="1:10" x14ac:dyDescent="0.15">
      <c r="A93"/>
      <c r="G93" s="4" t="s">
        <v>101</v>
      </c>
      <c r="I93" s="4" t="str">
        <f t="shared" si="1"/>
        <v>HG01150_pat_hprc_r2_v1.0.1</v>
      </c>
      <c r="J93" t="b">
        <f>IF(COUNTIF('Sheet 1 - assemblies'!B:B,Sheet2!I93)=1,TRUE,FALSE)</f>
        <v>0</v>
      </c>
    </row>
    <row r="94" spans="1:10" x14ac:dyDescent="0.15">
      <c r="A94"/>
      <c r="G94" s="4" t="s">
        <v>102</v>
      </c>
      <c r="I94" s="4" t="str">
        <f t="shared" si="1"/>
        <v>HG01167_hap1_hprc_r2_v1.0.1</v>
      </c>
      <c r="J94" t="b">
        <f>IF(COUNTIF('Sheet 1 - assemblies'!B:B,Sheet2!I94)=1,TRUE,FALSE)</f>
        <v>0</v>
      </c>
    </row>
    <row r="95" spans="1:10" x14ac:dyDescent="0.15">
      <c r="A95"/>
      <c r="G95" s="4" t="s">
        <v>103</v>
      </c>
      <c r="I95" s="4" t="str">
        <f t="shared" si="1"/>
        <v>HG01167_hap2_hprc_r2_v1.0.1</v>
      </c>
      <c r="J95" t="b">
        <f>IF(COUNTIF('Sheet 1 - assemblies'!B:B,Sheet2!I95)=1,TRUE,FALSE)</f>
        <v>0</v>
      </c>
    </row>
    <row r="96" spans="1:10" x14ac:dyDescent="0.15">
      <c r="A96"/>
      <c r="G96" s="4" t="s">
        <v>104</v>
      </c>
      <c r="I96" s="4" t="str">
        <f t="shared" si="1"/>
        <v>HG01175_mat_hprc_r2_v1.0.1</v>
      </c>
      <c r="J96" t="b">
        <f>IF(COUNTIF('Sheet 1 - assemblies'!B:B,Sheet2!I96)=1,TRUE,FALSE)</f>
        <v>0</v>
      </c>
    </row>
    <row r="97" spans="1:10" x14ac:dyDescent="0.15">
      <c r="A97"/>
      <c r="G97" s="4" t="s">
        <v>105</v>
      </c>
      <c r="I97" s="4" t="str">
        <f t="shared" si="1"/>
        <v>HG01175_pat_hprc_r2_v1.0.1</v>
      </c>
      <c r="J97" t="b">
        <f>IF(COUNTIF('Sheet 1 - assemblies'!B:B,Sheet2!I97)=1,TRUE,FALSE)</f>
        <v>0</v>
      </c>
    </row>
    <row r="98" spans="1:10" x14ac:dyDescent="0.15">
      <c r="A98"/>
      <c r="G98" s="4" t="s">
        <v>106</v>
      </c>
      <c r="I98" s="4" t="str">
        <f t="shared" si="1"/>
        <v>HG01192_mat_hprc_r2_v1.0.1</v>
      </c>
      <c r="J98" t="b">
        <f>IF(COUNTIF('Sheet 1 - assemblies'!B:B,Sheet2!I98)=1,TRUE,FALSE)</f>
        <v>0</v>
      </c>
    </row>
    <row r="99" spans="1:10" x14ac:dyDescent="0.15">
      <c r="A99"/>
      <c r="G99" s="4" t="s">
        <v>107</v>
      </c>
      <c r="I99" s="4" t="str">
        <f t="shared" si="1"/>
        <v>HG01192_pat_hprc_r2_v1.0.1</v>
      </c>
      <c r="J99" t="b">
        <f>IF(COUNTIF('Sheet 1 - assemblies'!B:B,Sheet2!I99)=1,TRUE,FALSE)</f>
        <v>0</v>
      </c>
    </row>
    <row r="100" spans="1:10" x14ac:dyDescent="0.15">
      <c r="A100"/>
      <c r="G100" s="4" t="s">
        <v>108</v>
      </c>
      <c r="I100" s="4" t="str">
        <f t="shared" si="1"/>
        <v>HG01243_mat_hprc_r2_v1.0.1</v>
      </c>
      <c r="J100" t="b">
        <f>IF(COUNTIF('Sheet 1 - assemblies'!B:B,Sheet2!I100)=1,TRUE,FALSE)</f>
        <v>0</v>
      </c>
    </row>
    <row r="101" spans="1:10" x14ac:dyDescent="0.15">
      <c r="A101"/>
      <c r="G101" s="4" t="s">
        <v>109</v>
      </c>
      <c r="I101" s="4" t="str">
        <f t="shared" si="1"/>
        <v>HG01243_pat_hprc_r2_v1.0.1</v>
      </c>
      <c r="J101" t="b">
        <f>IF(COUNTIF('Sheet 1 - assemblies'!B:B,Sheet2!I101)=1,TRUE,FALSE)</f>
        <v>0</v>
      </c>
    </row>
    <row r="102" spans="1:10" x14ac:dyDescent="0.15">
      <c r="A102"/>
      <c r="G102" s="4" t="s">
        <v>110</v>
      </c>
      <c r="I102" s="4" t="str">
        <f t="shared" si="1"/>
        <v>HG01252_mat_hprc_r2_v1.0.1</v>
      </c>
      <c r="J102" t="b">
        <f>IF(COUNTIF('Sheet 1 - assemblies'!B:B,Sheet2!I102)=1,TRUE,FALSE)</f>
        <v>0</v>
      </c>
    </row>
    <row r="103" spans="1:10" x14ac:dyDescent="0.15">
      <c r="A103"/>
      <c r="G103" s="4" t="s">
        <v>111</v>
      </c>
      <c r="I103" s="4" t="str">
        <f t="shared" si="1"/>
        <v>HG01252_pat_hprc_r2_v1.0.1</v>
      </c>
      <c r="J103" t="b">
        <f>IF(COUNTIF('Sheet 1 - assemblies'!B:B,Sheet2!I103)=1,TRUE,FALSE)</f>
        <v>0</v>
      </c>
    </row>
    <row r="104" spans="1:10" x14ac:dyDescent="0.15">
      <c r="A104"/>
      <c r="G104" s="4" t="s">
        <v>112</v>
      </c>
      <c r="I104" s="4" t="str">
        <f t="shared" si="1"/>
        <v>HG01255_mat_hprc_r2_v1.0.1</v>
      </c>
      <c r="J104" t="b">
        <f>IF(COUNTIF('Sheet 1 - assemblies'!B:B,Sheet2!I104)=1,TRUE,FALSE)</f>
        <v>0</v>
      </c>
    </row>
    <row r="105" spans="1:10" x14ac:dyDescent="0.15">
      <c r="A105"/>
      <c r="G105" s="4" t="s">
        <v>113</v>
      </c>
      <c r="I105" s="4" t="str">
        <f t="shared" si="1"/>
        <v>HG01255_pat_hprc_r2_v1.0.1</v>
      </c>
      <c r="J105" t="b">
        <f>IF(COUNTIF('Sheet 1 - assemblies'!B:B,Sheet2!I105)=1,TRUE,FALSE)</f>
        <v>0</v>
      </c>
    </row>
    <row r="106" spans="1:10" x14ac:dyDescent="0.15">
      <c r="A106"/>
      <c r="G106" s="4" t="s">
        <v>114</v>
      </c>
      <c r="I106" s="4" t="str">
        <f t="shared" si="1"/>
        <v>HG01258_mat_hprc_r2_v1.0.1</v>
      </c>
      <c r="J106" t="b">
        <f>IF(COUNTIF('Sheet 1 - assemblies'!B:B,Sheet2!I106)=1,TRUE,FALSE)</f>
        <v>0</v>
      </c>
    </row>
    <row r="107" spans="1:10" x14ac:dyDescent="0.15">
      <c r="A107"/>
      <c r="G107" s="4" t="s">
        <v>115</v>
      </c>
      <c r="I107" s="4" t="str">
        <f t="shared" si="1"/>
        <v>HG01258_pat_hprc_r2_v1.0.1</v>
      </c>
      <c r="J107" t="b">
        <f>IF(COUNTIF('Sheet 1 - assemblies'!B:B,Sheet2!I107)=1,TRUE,FALSE)</f>
        <v>0</v>
      </c>
    </row>
    <row r="108" spans="1:10" x14ac:dyDescent="0.15">
      <c r="A108"/>
      <c r="G108" s="4" t="s">
        <v>116</v>
      </c>
      <c r="I108" s="4" t="str">
        <f t="shared" si="1"/>
        <v>HG01261_mat_hprc_r2_v1.0.1</v>
      </c>
      <c r="J108" t="b">
        <f>IF(COUNTIF('Sheet 1 - assemblies'!B:B,Sheet2!I108)=1,TRUE,FALSE)</f>
        <v>0</v>
      </c>
    </row>
    <row r="109" spans="1:10" x14ac:dyDescent="0.15">
      <c r="A109"/>
      <c r="G109" s="4" t="s">
        <v>117</v>
      </c>
      <c r="I109" s="4" t="str">
        <f t="shared" si="1"/>
        <v>HG01261_pat_hprc_r2_v1.0.1</v>
      </c>
      <c r="J109" t="b">
        <f>IF(COUNTIF('Sheet 1 - assemblies'!B:B,Sheet2!I109)=1,TRUE,FALSE)</f>
        <v>0</v>
      </c>
    </row>
    <row r="110" spans="1:10" x14ac:dyDescent="0.15">
      <c r="A110"/>
      <c r="G110" s="4" t="s">
        <v>118</v>
      </c>
      <c r="I110" s="4" t="str">
        <f t="shared" si="1"/>
        <v>HG01346_mat_hprc_r2_v1.0.1</v>
      </c>
      <c r="J110" t="b">
        <f>IF(COUNTIF('Sheet 1 - assemblies'!B:B,Sheet2!I110)=1,TRUE,FALSE)</f>
        <v>0</v>
      </c>
    </row>
    <row r="111" spans="1:10" x14ac:dyDescent="0.15">
      <c r="A111"/>
      <c r="G111" s="4" t="s">
        <v>119</v>
      </c>
      <c r="I111" s="4" t="str">
        <f t="shared" si="1"/>
        <v>HG01346_pat_hprc_r2_v1.0.1</v>
      </c>
      <c r="J111" t="b">
        <f>IF(COUNTIF('Sheet 1 - assemblies'!B:B,Sheet2!I111)=1,TRUE,FALSE)</f>
        <v>0</v>
      </c>
    </row>
    <row r="112" spans="1:10" x14ac:dyDescent="0.15">
      <c r="A112"/>
      <c r="G112" s="4" t="s">
        <v>120</v>
      </c>
      <c r="I112" s="4" t="str">
        <f t="shared" si="1"/>
        <v>HG01358_mat_hprc_r2_v1.0.1</v>
      </c>
      <c r="J112" t="b">
        <f>IF(COUNTIF('Sheet 1 - assemblies'!B:B,Sheet2!I112)=1,TRUE,FALSE)</f>
        <v>0</v>
      </c>
    </row>
    <row r="113" spans="1:10" x14ac:dyDescent="0.15">
      <c r="A113"/>
      <c r="G113" s="4" t="s">
        <v>121</v>
      </c>
      <c r="I113" s="4" t="str">
        <f t="shared" si="1"/>
        <v>HG01358_pat_hprc_r2_v1.0.1</v>
      </c>
      <c r="J113" t="b">
        <f>IF(COUNTIF('Sheet 1 - assemblies'!B:B,Sheet2!I113)=1,TRUE,FALSE)</f>
        <v>0</v>
      </c>
    </row>
    <row r="114" spans="1:10" x14ac:dyDescent="0.15">
      <c r="A114"/>
      <c r="G114" s="4" t="s">
        <v>122</v>
      </c>
      <c r="I114" s="4" t="str">
        <f t="shared" si="1"/>
        <v>HG01361_mat_hprc_r2_v1.0.1</v>
      </c>
      <c r="J114" t="b">
        <f>IF(COUNTIF('Sheet 1 - assemblies'!B:B,Sheet2!I114)=1,TRUE,FALSE)</f>
        <v>0</v>
      </c>
    </row>
    <row r="115" spans="1:10" x14ac:dyDescent="0.15">
      <c r="A115"/>
      <c r="G115" s="4" t="s">
        <v>123</v>
      </c>
      <c r="I115" s="4" t="str">
        <f t="shared" si="1"/>
        <v>HG01361_pat_hprc_r2_v1.0.1</v>
      </c>
      <c r="J115" t="b">
        <f>IF(COUNTIF('Sheet 1 - assemblies'!B:B,Sheet2!I115)=1,TRUE,FALSE)</f>
        <v>0</v>
      </c>
    </row>
    <row r="116" spans="1:10" x14ac:dyDescent="0.15">
      <c r="A116"/>
      <c r="G116" s="4" t="s">
        <v>124</v>
      </c>
      <c r="I116" s="4" t="str">
        <f t="shared" si="1"/>
        <v>HG01433_mat_hprc_r2_v1.0.1</v>
      </c>
      <c r="J116" t="b">
        <f>IF(COUNTIF('Sheet 1 - assemblies'!B:B,Sheet2!I116)=1,TRUE,FALSE)</f>
        <v>0</v>
      </c>
    </row>
    <row r="117" spans="1:10" x14ac:dyDescent="0.15">
      <c r="A117"/>
      <c r="G117" s="4" t="s">
        <v>125</v>
      </c>
      <c r="I117" s="4" t="str">
        <f t="shared" si="1"/>
        <v>HG01433_pat_hprc_r2_v1.0.1</v>
      </c>
      <c r="J117" t="b">
        <f>IF(COUNTIF('Sheet 1 - assemblies'!B:B,Sheet2!I117)=1,TRUE,FALSE)</f>
        <v>0</v>
      </c>
    </row>
    <row r="118" spans="1:10" x14ac:dyDescent="0.15">
      <c r="A118"/>
      <c r="G118" s="4" t="s">
        <v>126</v>
      </c>
      <c r="I118" s="4" t="str">
        <f t="shared" si="1"/>
        <v>HG01496_mat_hprc_r2_v1.0.1</v>
      </c>
      <c r="J118" t="b">
        <f>IF(COUNTIF('Sheet 1 - assemblies'!B:B,Sheet2!I118)=1,TRUE,FALSE)</f>
        <v>0</v>
      </c>
    </row>
    <row r="119" spans="1:10" x14ac:dyDescent="0.15">
      <c r="A119"/>
      <c r="G119" s="4" t="s">
        <v>127</v>
      </c>
      <c r="I119" s="4" t="str">
        <f t="shared" si="1"/>
        <v>HG01496_pat_hprc_r2_v1.0.1</v>
      </c>
      <c r="J119" t="b">
        <f>IF(COUNTIF('Sheet 1 - assemblies'!B:B,Sheet2!I119)=1,TRUE,FALSE)</f>
        <v>0</v>
      </c>
    </row>
    <row r="120" spans="1:10" x14ac:dyDescent="0.15">
      <c r="A120"/>
      <c r="G120" s="4" t="s">
        <v>128</v>
      </c>
      <c r="I120" s="4" t="str">
        <f t="shared" si="1"/>
        <v>HG01530_hap1_hprc_r2_v1.0.1</v>
      </c>
      <c r="J120" t="b">
        <f>IF(COUNTIF('Sheet 1 - assemblies'!B:B,Sheet2!I120)=1,TRUE,FALSE)</f>
        <v>0</v>
      </c>
    </row>
    <row r="121" spans="1:10" x14ac:dyDescent="0.15">
      <c r="A121"/>
      <c r="G121" s="4" t="s">
        <v>129</v>
      </c>
      <c r="I121" s="4" t="str">
        <f t="shared" si="1"/>
        <v>HG01530_hap2_hprc_r2_v1.0.1</v>
      </c>
      <c r="J121" t="b">
        <f>IF(COUNTIF('Sheet 1 - assemblies'!B:B,Sheet2!I121)=1,TRUE,FALSE)</f>
        <v>0</v>
      </c>
    </row>
    <row r="122" spans="1:10" x14ac:dyDescent="0.15">
      <c r="A122"/>
      <c r="G122" s="4" t="s">
        <v>130</v>
      </c>
      <c r="I122" s="4" t="str">
        <f t="shared" si="1"/>
        <v>HG01784_hap1_hprc_r2_v1.0.1</v>
      </c>
      <c r="J122" t="b">
        <f>IF(COUNTIF('Sheet 1 - assemblies'!B:B,Sheet2!I122)=1,TRUE,FALSE)</f>
        <v>0</v>
      </c>
    </row>
    <row r="123" spans="1:10" x14ac:dyDescent="0.15">
      <c r="A123"/>
      <c r="G123" s="4" t="s">
        <v>131</v>
      </c>
      <c r="I123" s="4" t="str">
        <f t="shared" si="1"/>
        <v>HG01784_hap2_hprc_r2_v1.0.1</v>
      </c>
      <c r="J123" t="b">
        <f>IF(COUNTIF('Sheet 1 - assemblies'!B:B,Sheet2!I123)=1,TRUE,FALSE)</f>
        <v>0</v>
      </c>
    </row>
    <row r="124" spans="1:10" x14ac:dyDescent="0.15">
      <c r="A124"/>
      <c r="G124" s="4" t="s">
        <v>132</v>
      </c>
      <c r="I124" s="4" t="str">
        <f t="shared" si="1"/>
        <v>HG01786_hap1_hprc_r2_v1.0.1</v>
      </c>
      <c r="J124" t="b">
        <f>IF(COUNTIF('Sheet 1 - assemblies'!B:B,Sheet2!I124)=1,TRUE,FALSE)</f>
        <v>0</v>
      </c>
    </row>
    <row r="125" spans="1:10" x14ac:dyDescent="0.15">
      <c r="A125"/>
      <c r="G125" s="4" t="s">
        <v>133</v>
      </c>
      <c r="I125" s="4" t="str">
        <f t="shared" si="1"/>
        <v>HG01786_hap2_hprc_r2_v1.0.1</v>
      </c>
      <c r="J125" t="b">
        <f>IF(COUNTIF('Sheet 1 - assemblies'!B:B,Sheet2!I125)=1,TRUE,FALSE)</f>
        <v>0</v>
      </c>
    </row>
    <row r="126" spans="1:10" x14ac:dyDescent="0.15">
      <c r="A126"/>
      <c r="G126" s="4" t="s">
        <v>134</v>
      </c>
      <c r="I126" s="4" t="str">
        <f t="shared" si="1"/>
        <v>HG01884_mat_hprc_r2_v1.0.1</v>
      </c>
      <c r="J126" t="b">
        <f>IF(COUNTIF('Sheet 1 - assemblies'!B:B,Sheet2!I126)=1,TRUE,FALSE)</f>
        <v>0</v>
      </c>
    </row>
    <row r="127" spans="1:10" x14ac:dyDescent="0.15">
      <c r="A127"/>
      <c r="G127" s="4" t="s">
        <v>135</v>
      </c>
      <c r="I127" s="4" t="str">
        <f t="shared" si="1"/>
        <v>HG01884_pat_hprc_r2_v1.0.1</v>
      </c>
      <c r="J127" t="b">
        <f>IF(COUNTIF('Sheet 1 - assemblies'!B:B,Sheet2!I127)=1,TRUE,FALSE)</f>
        <v>0</v>
      </c>
    </row>
    <row r="128" spans="1:10" x14ac:dyDescent="0.15">
      <c r="A128"/>
      <c r="G128" s="4" t="s">
        <v>136</v>
      </c>
      <c r="I128" s="4" t="str">
        <f t="shared" si="1"/>
        <v>HG01891_mat_hprc_r2_v1.0.1</v>
      </c>
      <c r="J128" t="b">
        <f>IF(COUNTIF('Sheet 1 - assemblies'!B:B,Sheet2!I128)=1,TRUE,FALSE)</f>
        <v>0</v>
      </c>
    </row>
    <row r="129" spans="1:10" x14ac:dyDescent="0.15">
      <c r="A129"/>
      <c r="G129" s="4" t="s">
        <v>137</v>
      </c>
      <c r="I129" s="4" t="str">
        <f t="shared" si="1"/>
        <v>HG01891_pat_hprc_r2_v1.0.1</v>
      </c>
      <c r="J129" t="b">
        <f>IF(COUNTIF('Sheet 1 - assemblies'!B:B,Sheet2!I129)=1,TRUE,FALSE)</f>
        <v>0</v>
      </c>
    </row>
    <row r="130" spans="1:10" x14ac:dyDescent="0.15">
      <c r="A130"/>
      <c r="G130" s="4" t="s">
        <v>138</v>
      </c>
      <c r="I130" s="4" t="str">
        <f t="shared" ref="I130:I193" si="2">LEFT(G130,LEN(G130)-1)</f>
        <v>HG01928_mat_hprc_r2_v1.0.1</v>
      </c>
      <c r="J130" t="b">
        <f>IF(COUNTIF('Sheet 1 - assemblies'!B:B,Sheet2!I130)=1,TRUE,FALSE)</f>
        <v>0</v>
      </c>
    </row>
    <row r="131" spans="1:10" x14ac:dyDescent="0.15">
      <c r="A131"/>
      <c r="G131" s="4" t="s">
        <v>139</v>
      </c>
      <c r="I131" s="4" t="str">
        <f t="shared" si="2"/>
        <v>HG01928_pat_hprc_r2_v1.0.1</v>
      </c>
      <c r="J131" t="b">
        <f>IF(COUNTIF('Sheet 1 - assemblies'!B:B,Sheet2!I131)=1,TRUE,FALSE)</f>
        <v>0</v>
      </c>
    </row>
    <row r="132" spans="1:10" x14ac:dyDescent="0.15">
      <c r="A132"/>
      <c r="G132" s="4" t="s">
        <v>140</v>
      </c>
      <c r="I132" s="4" t="str">
        <f t="shared" si="2"/>
        <v>HG01934_mat_hprc_r2_v1.0.1</v>
      </c>
      <c r="J132" t="b">
        <f>IF(COUNTIF('Sheet 1 - assemblies'!B:B,Sheet2!I132)=1,TRUE,FALSE)</f>
        <v>0</v>
      </c>
    </row>
    <row r="133" spans="1:10" x14ac:dyDescent="0.15">
      <c r="A133"/>
      <c r="G133" s="4" t="s">
        <v>141</v>
      </c>
      <c r="I133" s="4" t="str">
        <f t="shared" si="2"/>
        <v>HG01934_pat_hprc_r2_v1.0.1</v>
      </c>
      <c r="J133" t="b">
        <f>IF(COUNTIF('Sheet 1 - assemblies'!B:B,Sheet2!I133)=1,TRUE,FALSE)</f>
        <v>0</v>
      </c>
    </row>
    <row r="134" spans="1:10" x14ac:dyDescent="0.15">
      <c r="A134"/>
      <c r="G134" s="4" t="s">
        <v>142</v>
      </c>
      <c r="I134" s="4" t="str">
        <f t="shared" si="2"/>
        <v>HG01940_mat_hprc_r2_v1.0.1</v>
      </c>
      <c r="J134" t="b">
        <f>IF(COUNTIF('Sheet 1 - assemblies'!B:B,Sheet2!I134)=1,TRUE,FALSE)</f>
        <v>0</v>
      </c>
    </row>
    <row r="135" spans="1:10" x14ac:dyDescent="0.15">
      <c r="A135"/>
      <c r="G135" s="4" t="s">
        <v>143</v>
      </c>
      <c r="I135" s="4" t="str">
        <f t="shared" si="2"/>
        <v>HG01940_pat_hprc_r2_v1.0.1</v>
      </c>
      <c r="J135" t="b">
        <f>IF(COUNTIF('Sheet 1 - assemblies'!B:B,Sheet2!I135)=1,TRUE,FALSE)</f>
        <v>0</v>
      </c>
    </row>
    <row r="136" spans="1:10" x14ac:dyDescent="0.15">
      <c r="A136"/>
      <c r="G136" s="4" t="s">
        <v>144</v>
      </c>
      <c r="I136" s="4" t="str">
        <f t="shared" si="2"/>
        <v>HG01943_mat_hprc_r2_v1.0.1</v>
      </c>
      <c r="J136" t="b">
        <f>IF(COUNTIF('Sheet 1 - assemblies'!B:B,Sheet2!I136)=1,TRUE,FALSE)</f>
        <v>0</v>
      </c>
    </row>
    <row r="137" spans="1:10" x14ac:dyDescent="0.15">
      <c r="A137"/>
      <c r="G137" s="4" t="s">
        <v>145</v>
      </c>
      <c r="I137" s="4" t="str">
        <f t="shared" si="2"/>
        <v>HG01943_pat_hprc_r2_v1.0.1</v>
      </c>
      <c r="J137" t="b">
        <f>IF(COUNTIF('Sheet 1 - assemblies'!B:B,Sheet2!I137)=1,TRUE,FALSE)</f>
        <v>0</v>
      </c>
    </row>
    <row r="138" spans="1:10" x14ac:dyDescent="0.15">
      <c r="A138"/>
      <c r="G138" s="4" t="s">
        <v>146</v>
      </c>
      <c r="I138" s="4" t="str">
        <f t="shared" si="2"/>
        <v>HG01952_mat_hprc_r2_v1.0.1</v>
      </c>
      <c r="J138" t="b">
        <f>IF(COUNTIF('Sheet 1 - assemblies'!B:B,Sheet2!I138)=1,TRUE,FALSE)</f>
        <v>0</v>
      </c>
    </row>
    <row r="139" spans="1:10" x14ac:dyDescent="0.15">
      <c r="A139"/>
      <c r="G139" s="4" t="s">
        <v>147</v>
      </c>
      <c r="I139" s="4" t="str">
        <f t="shared" si="2"/>
        <v>HG01952_pat_hprc_r2_v1.0.1</v>
      </c>
      <c r="J139" t="b">
        <f>IF(COUNTIF('Sheet 1 - assemblies'!B:B,Sheet2!I139)=1,TRUE,FALSE)</f>
        <v>0</v>
      </c>
    </row>
    <row r="140" spans="1:10" x14ac:dyDescent="0.15">
      <c r="A140"/>
      <c r="G140" s="4" t="s">
        <v>148</v>
      </c>
      <c r="I140" s="4" t="str">
        <f t="shared" si="2"/>
        <v>HG01960_mat_hprc_r2_v1.0.1</v>
      </c>
      <c r="J140" t="b">
        <f>IF(COUNTIF('Sheet 1 - assemblies'!B:B,Sheet2!I140)=1,TRUE,FALSE)</f>
        <v>0</v>
      </c>
    </row>
    <row r="141" spans="1:10" x14ac:dyDescent="0.15">
      <c r="A141"/>
      <c r="G141" s="4" t="s">
        <v>149</v>
      </c>
      <c r="I141" s="4" t="str">
        <f t="shared" si="2"/>
        <v>HG01960_pat_hprc_r2_v1.0.1</v>
      </c>
      <c r="J141" t="b">
        <f>IF(COUNTIF('Sheet 1 - assemblies'!B:B,Sheet2!I141)=1,TRUE,FALSE)</f>
        <v>0</v>
      </c>
    </row>
    <row r="142" spans="1:10" x14ac:dyDescent="0.15">
      <c r="A142"/>
      <c r="G142" s="4" t="s">
        <v>150</v>
      </c>
      <c r="I142" s="4" t="str">
        <f t="shared" si="2"/>
        <v>HG01969_mat_hprc_r2_v1.0.1</v>
      </c>
      <c r="J142" t="b">
        <f>IF(COUNTIF('Sheet 1 - assemblies'!B:B,Sheet2!I142)=1,TRUE,FALSE)</f>
        <v>0</v>
      </c>
    </row>
    <row r="143" spans="1:10" x14ac:dyDescent="0.15">
      <c r="A143"/>
      <c r="G143" s="4" t="s">
        <v>151</v>
      </c>
      <c r="I143" s="4" t="str">
        <f t="shared" si="2"/>
        <v>HG01969_pat_hprc_r2_v1.0.1</v>
      </c>
      <c r="J143" t="b">
        <f>IF(COUNTIF('Sheet 1 - assemblies'!B:B,Sheet2!I143)=1,TRUE,FALSE)</f>
        <v>0</v>
      </c>
    </row>
    <row r="144" spans="1:10" x14ac:dyDescent="0.15">
      <c r="A144"/>
      <c r="G144" s="4" t="s">
        <v>152</v>
      </c>
      <c r="I144" s="4" t="str">
        <f t="shared" si="2"/>
        <v>HG01975_mat_hprc_r2_v1.0.1</v>
      </c>
      <c r="J144" t="b">
        <f>IF(COUNTIF('Sheet 1 - assemblies'!B:B,Sheet2!I144)=1,TRUE,FALSE)</f>
        <v>0</v>
      </c>
    </row>
    <row r="145" spans="1:10" x14ac:dyDescent="0.15">
      <c r="A145"/>
      <c r="G145" s="4" t="s">
        <v>153</v>
      </c>
      <c r="I145" s="4" t="str">
        <f t="shared" si="2"/>
        <v>HG01975_pat_hprc_r2_v1.0.1</v>
      </c>
      <c r="J145" t="b">
        <f>IF(COUNTIF('Sheet 1 - assemblies'!B:B,Sheet2!I145)=1,TRUE,FALSE)</f>
        <v>0</v>
      </c>
    </row>
    <row r="146" spans="1:10" x14ac:dyDescent="0.15">
      <c r="A146"/>
      <c r="G146" s="4" t="s">
        <v>154</v>
      </c>
      <c r="I146" s="4" t="str">
        <f t="shared" si="2"/>
        <v>HG01978_mat_hprc_r2_v1.1.0</v>
      </c>
      <c r="J146" t="b">
        <f>IF(COUNTIF('Sheet 1 - assemblies'!B:B,Sheet2!I146)=1,TRUE,FALSE)</f>
        <v>0</v>
      </c>
    </row>
    <row r="147" spans="1:10" x14ac:dyDescent="0.15">
      <c r="A147"/>
      <c r="G147" s="4" t="s">
        <v>155</v>
      </c>
      <c r="I147" s="4" t="str">
        <f t="shared" si="2"/>
        <v>HG01978_pat_hprc_r2_v1.1.0</v>
      </c>
      <c r="J147" t="b">
        <f>IF(COUNTIF('Sheet 1 - assemblies'!B:B,Sheet2!I147)=1,TRUE,FALSE)</f>
        <v>0</v>
      </c>
    </row>
    <row r="148" spans="1:10" x14ac:dyDescent="0.15">
      <c r="A148"/>
      <c r="G148" s="4" t="s">
        <v>156</v>
      </c>
      <c r="I148" s="4" t="str">
        <f t="shared" si="2"/>
        <v>HG01981_mat_hprc_r2_v1.0.1</v>
      </c>
      <c r="J148" t="b">
        <f>IF(COUNTIF('Sheet 1 - assemblies'!B:B,Sheet2!I148)=1,TRUE,FALSE)</f>
        <v>0</v>
      </c>
    </row>
    <row r="149" spans="1:10" x14ac:dyDescent="0.15">
      <c r="A149"/>
      <c r="G149" s="4" t="s">
        <v>157</v>
      </c>
      <c r="I149" s="4" t="str">
        <f t="shared" si="2"/>
        <v>HG01981_pat_hprc_r2_v1.0.1</v>
      </c>
      <c r="J149" t="b">
        <f>IF(COUNTIF('Sheet 1 - assemblies'!B:B,Sheet2!I149)=1,TRUE,FALSE)</f>
        <v>0</v>
      </c>
    </row>
    <row r="150" spans="1:10" x14ac:dyDescent="0.15">
      <c r="A150"/>
      <c r="G150" s="4" t="s">
        <v>158</v>
      </c>
      <c r="I150" s="4" t="str">
        <f t="shared" si="2"/>
        <v>HG01993_mat_hprc_r2_v1.0.1</v>
      </c>
      <c r="J150" t="b">
        <f>IF(COUNTIF('Sheet 1 - assemblies'!B:B,Sheet2!I150)=1,TRUE,FALSE)</f>
        <v>0</v>
      </c>
    </row>
    <row r="151" spans="1:10" x14ac:dyDescent="0.15">
      <c r="A151"/>
      <c r="G151" s="4" t="s">
        <v>159</v>
      </c>
      <c r="I151" s="4" t="str">
        <f t="shared" si="2"/>
        <v>HG01993_pat_hprc_r2_v1.0.1</v>
      </c>
      <c r="J151" t="b">
        <f>IF(COUNTIF('Sheet 1 - assemblies'!B:B,Sheet2!I151)=1,TRUE,FALSE)</f>
        <v>0</v>
      </c>
    </row>
    <row r="152" spans="1:10" x14ac:dyDescent="0.15">
      <c r="A152"/>
      <c r="G152" s="4" t="s">
        <v>160</v>
      </c>
      <c r="I152" s="4" t="str">
        <f t="shared" si="2"/>
        <v>HG02004_mat_hprc_r2_v1.0.1</v>
      </c>
      <c r="J152" t="b">
        <f>IF(COUNTIF('Sheet 1 - assemblies'!B:B,Sheet2!I152)=1,TRUE,FALSE)</f>
        <v>0</v>
      </c>
    </row>
    <row r="153" spans="1:10" x14ac:dyDescent="0.15">
      <c r="A153"/>
      <c r="G153" s="4" t="s">
        <v>161</v>
      </c>
      <c r="I153" s="4" t="str">
        <f t="shared" si="2"/>
        <v>HG02004_pat_hprc_r2_v1.0.1</v>
      </c>
      <c r="J153" t="b">
        <f>IF(COUNTIF('Sheet 1 - assemblies'!B:B,Sheet2!I153)=1,TRUE,FALSE)</f>
        <v>0</v>
      </c>
    </row>
    <row r="154" spans="1:10" x14ac:dyDescent="0.15">
      <c r="A154"/>
      <c r="G154" s="4" t="s">
        <v>162</v>
      </c>
      <c r="I154" s="4" t="str">
        <f t="shared" si="2"/>
        <v>HG02015_mat_hprc_r2_v1.0.1</v>
      </c>
      <c r="J154" t="b">
        <f>IF(COUNTIF('Sheet 1 - assemblies'!B:B,Sheet2!I154)=1,TRUE,FALSE)</f>
        <v>0</v>
      </c>
    </row>
    <row r="155" spans="1:10" x14ac:dyDescent="0.15">
      <c r="A155"/>
      <c r="G155" s="4" t="s">
        <v>163</v>
      </c>
      <c r="I155" s="4" t="str">
        <f t="shared" si="2"/>
        <v>HG02015_pat_hprc_r2_v1.0.1</v>
      </c>
      <c r="J155" t="b">
        <f>IF(COUNTIF('Sheet 1 - assemblies'!B:B,Sheet2!I155)=1,TRUE,FALSE)</f>
        <v>0</v>
      </c>
    </row>
    <row r="156" spans="1:10" x14ac:dyDescent="0.15">
      <c r="A156"/>
      <c r="G156" s="4" t="s">
        <v>164</v>
      </c>
      <c r="I156" s="4" t="str">
        <f t="shared" si="2"/>
        <v>HG02027_mat_hprc_r2_v1.0.1</v>
      </c>
      <c r="J156" t="b">
        <f>IF(COUNTIF('Sheet 1 - assemblies'!B:B,Sheet2!I156)=1,TRUE,FALSE)</f>
        <v>0</v>
      </c>
    </row>
    <row r="157" spans="1:10" x14ac:dyDescent="0.15">
      <c r="A157"/>
      <c r="G157" s="4" t="s">
        <v>165</v>
      </c>
      <c r="I157" s="4" t="str">
        <f t="shared" si="2"/>
        <v>HG02027_pat_hprc_r2_v1.0.1</v>
      </c>
      <c r="J157" t="b">
        <f>IF(COUNTIF('Sheet 1 - assemblies'!B:B,Sheet2!I157)=1,TRUE,FALSE)</f>
        <v>0</v>
      </c>
    </row>
    <row r="158" spans="1:10" x14ac:dyDescent="0.15">
      <c r="A158"/>
      <c r="G158" s="4" t="s">
        <v>166</v>
      </c>
      <c r="I158" s="4" t="str">
        <f t="shared" si="2"/>
        <v>HG02040_hap1_hprc_r2_v1.0.1</v>
      </c>
      <c r="J158" t="b">
        <f>IF(COUNTIF('Sheet 1 - assemblies'!B:B,Sheet2!I158)=1,TRUE,FALSE)</f>
        <v>0</v>
      </c>
    </row>
    <row r="159" spans="1:10" x14ac:dyDescent="0.15">
      <c r="A159"/>
      <c r="G159" s="4" t="s">
        <v>167</v>
      </c>
      <c r="I159" s="4" t="str">
        <f t="shared" si="2"/>
        <v>HG02040_hap2_hprc_r2_v1.0.1</v>
      </c>
      <c r="J159" t="b">
        <f>IF(COUNTIF('Sheet 1 - assemblies'!B:B,Sheet2!I159)=1,TRUE,FALSE)</f>
        <v>0</v>
      </c>
    </row>
    <row r="160" spans="1:10" x14ac:dyDescent="0.15">
      <c r="A160"/>
      <c r="G160" s="4" t="s">
        <v>168</v>
      </c>
      <c r="I160" s="4" t="str">
        <f t="shared" si="2"/>
        <v>HG02055_mat_hprc_r2_v1.0.1</v>
      </c>
      <c r="J160" t="b">
        <f>IF(COUNTIF('Sheet 1 - assemblies'!B:B,Sheet2!I160)=1,TRUE,FALSE)</f>
        <v>0</v>
      </c>
    </row>
    <row r="161" spans="1:10" x14ac:dyDescent="0.15">
      <c r="A161"/>
      <c r="G161" s="4" t="s">
        <v>169</v>
      </c>
      <c r="I161" s="4" t="str">
        <f t="shared" si="2"/>
        <v>HG02055_pat_hprc_r2_v1.0.1</v>
      </c>
      <c r="J161" t="b">
        <f>IF(COUNTIF('Sheet 1 - assemblies'!B:B,Sheet2!I161)=1,TRUE,FALSE)</f>
        <v>0</v>
      </c>
    </row>
    <row r="162" spans="1:10" x14ac:dyDescent="0.15">
      <c r="A162"/>
      <c r="G162" s="4" t="s">
        <v>170</v>
      </c>
      <c r="I162" s="4" t="str">
        <f t="shared" si="2"/>
        <v>HG02056_mat_hprc_r2_v1.0.1</v>
      </c>
      <c r="J162" t="b">
        <f>IF(COUNTIF('Sheet 1 - assemblies'!B:B,Sheet2!I162)=1,TRUE,FALSE)</f>
        <v>0</v>
      </c>
    </row>
    <row r="163" spans="1:10" x14ac:dyDescent="0.15">
      <c r="A163"/>
      <c r="G163" s="4" t="s">
        <v>171</v>
      </c>
      <c r="I163" s="4" t="str">
        <f t="shared" si="2"/>
        <v>HG02056_pat_hprc_r2_v1.0.1</v>
      </c>
      <c r="J163" t="b">
        <f>IF(COUNTIF('Sheet 1 - assemblies'!B:B,Sheet2!I163)=1,TRUE,FALSE)</f>
        <v>0</v>
      </c>
    </row>
    <row r="164" spans="1:10" x14ac:dyDescent="0.15">
      <c r="A164"/>
      <c r="G164" s="4" t="s">
        <v>172</v>
      </c>
      <c r="I164" s="4" t="str">
        <f t="shared" si="2"/>
        <v>HG02071_mat_hprc_r2_v1.0.1</v>
      </c>
      <c r="J164" t="b">
        <f>IF(COUNTIF('Sheet 1 - assemblies'!B:B,Sheet2!I164)=1,TRUE,FALSE)</f>
        <v>0</v>
      </c>
    </row>
    <row r="165" spans="1:10" x14ac:dyDescent="0.15">
      <c r="A165"/>
      <c r="G165" s="4" t="s">
        <v>173</v>
      </c>
      <c r="I165" s="4" t="str">
        <f t="shared" si="2"/>
        <v>HG02071_pat_hprc_r2_v1.0.1</v>
      </c>
      <c r="J165" t="b">
        <f>IF(COUNTIF('Sheet 1 - assemblies'!B:B,Sheet2!I165)=1,TRUE,FALSE)</f>
        <v>0</v>
      </c>
    </row>
    <row r="166" spans="1:10" x14ac:dyDescent="0.15">
      <c r="A166"/>
      <c r="G166" s="4" t="s">
        <v>174</v>
      </c>
      <c r="I166" s="4" t="str">
        <f t="shared" si="2"/>
        <v>HG02074_mat_hprc_r2_v1.0.1</v>
      </c>
      <c r="J166" t="b">
        <f>IF(COUNTIF('Sheet 1 - assemblies'!B:B,Sheet2!I166)=1,TRUE,FALSE)</f>
        <v>0</v>
      </c>
    </row>
    <row r="167" spans="1:10" x14ac:dyDescent="0.15">
      <c r="A167"/>
      <c r="G167" s="4" t="s">
        <v>175</v>
      </c>
      <c r="I167" s="4" t="str">
        <f t="shared" si="2"/>
        <v>HG02074_pat_hprc_r2_v1.0.1</v>
      </c>
      <c r="J167" t="b">
        <f>IF(COUNTIF('Sheet 1 - assemblies'!B:B,Sheet2!I167)=1,TRUE,FALSE)</f>
        <v>0</v>
      </c>
    </row>
    <row r="168" spans="1:10" x14ac:dyDescent="0.15">
      <c r="A168"/>
      <c r="G168" s="4" t="s">
        <v>176</v>
      </c>
      <c r="I168" s="4" t="str">
        <f t="shared" si="2"/>
        <v>HG02080_mat_hprc_r2_v1.0.1</v>
      </c>
      <c r="J168" t="b">
        <f>IF(COUNTIF('Sheet 1 - assemblies'!B:B,Sheet2!I168)=1,TRUE,FALSE)</f>
        <v>0</v>
      </c>
    </row>
    <row r="169" spans="1:10" x14ac:dyDescent="0.15">
      <c r="A169"/>
      <c r="G169" s="4" t="s">
        <v>177</v>
      </c>
      <c r="I169" s="4" t="str">
        <f t="shared" si="2"/>
        <v>HG02080_pat_hprc_r2_v1.0.1</v>
      </c>
      <c r="J169" t="b">
        <f>IF(COUNTIF('Sheet 1 - assemblies'!B:B,Sheet2!I169)=1,TRUE,FALSE)</f>
        <v>0</v>
      </c>
    </row>
    <row r="170" spans="1:10" x14ac:dyDescent="0.15">
      <c r="A170"/>
      <c r="G170" s="4" t="s">
        <v>178</v>
      </c>
      <c r="I170" s="4" t="str">
        <f t="shared" si="2"/>
        <v>HG02083_mat_hprc_r2_v1.0.1</v>
      </c>
      <c r="J170" t="b">
        <f>IF(COUNTIF('Sheet 1 - assemblies'!B:B,Sheet2!I170)=1,TRUE,FALSE)</f>
        <v>0</v>
      </c>
    </row>
    <row r="171" spans="1:10" x14ac:dyDescent="0.15">
      <c r="A171"/>
      <c r="G171" s="4" t="s">
        <v>179</v>
      </c>
      <c r="I171" s="4" t="str">
        <f t="shared" si="2"/>
        <v>HG02083_pat_hprc_r2_v1.0.1</v>
      </c>
      <c r="J171" t="b">
        <f>IF(COUNTIF('Sheet 1 - assemblies'!B:B,Sheet2!I171)=1,TRUE,FALSE)</f>
        <v>0</v>
      </c>
    </row>
    <row r="172" spans="1:10" x14ac:dyDescent="0.15">
      <c r="A172"/>
      <c r="G172" s="4" t="s">
        <v>180</v>
      </c>
      <c r="I172" s="4" t="str">
        <f t="shared" si="2"/>
        <v>HG02109_mat_hprc_r2_v1.0.1</v>
      </c>
      <c r="J172" t="b">
        <f>IF(COUNTIF('Sheet 1 - assemblies'!B:B,Sheet2!I172)=1,TRUE,FALSE)</f>
        <v>0</v>
      </c>
    </row>
    <row r="173" spans="1:10" x14ac:dyDescent="0.15">
      <c r="A173"/>
      <c r="G173" s="4" t="s">
        <v>181</v>
      </c>
      <c r="I173" s="4" t="str">
        <f t="shared" si="2"/>
        <v>HG02109_pat_hprc_r2_v1.0.1</v>
      </c>
      <c r="J173" t="b">
        <f>IF(COUNTIF('Sheet 1 - assemblies'!B:B,Sheet2!I173)=1,TRUE,FALSE)</f>
        <v>0</v>
      </c>
    </row>
    <row r="174" spans="1:10" x14ac:dyDescent="0.15">
      <c r="A174"/>
      <c r="G174" s="4" t="s">
        <v>182</v>
      </c>
      <c r="I174" s="4" t="str">
        <f t="shared" si="2"/>
        <v>HG02129_mat_hprc_r2_v1.0.1</v>
      </c>
      <c r="J174" t="b">
        <f>IF(COUNTIF('Sheet 1 - assemblies'!B:B,Sheet2!I174)=1,TRUE,FALSE)</f>
        <v>0</v>
      </c>
    </row>
    <row r="175" spans="1:10" x14ac:dyDescent="0.15">
      <c r="A175"/>
      <c r="G175" s="4" t="s">
        <v>183</v>
      </c>
      <c r="I175" s="4" t="str">
        <f t="shared" si="2"/>
        <v>HG02129_pat_hprc_r2_v1.0.1</v>
      </c>
      <c r="J175" t="b">
        <f>IF(COUNTIF('Sheet 1 - assemblies'!B:B,Sheet2!I175)=1,TRUE,FALSE)</f>
        <v>0</v>
      </c>
    </row>
    <row r="176" spans="1:10" x14ac:dyDescent="0.15">
      <c r="A176"/>
      <c r="G176" s="4" t="s">
        <v>184</v>
      </c>
      <c r="I176" s="4" t="str">
        <f t="shared" si="2"/>
        <v>HG02132_mat_hprc_r2_v1.0.1</v>
      </c>
      <c r="J176" t="b">
        <f>IF(COUNTIF('Sheet 1 - assemblies'!B:B,Sheet2!I176)=1,TRUE,FALSE)</f>
        <v>0</v>
      </c>
    </row>
    <row r="177" spans="1:10" x14ac:dyDescent="0.15">
      <c r="A177"/>
      <c r="G177" s="4" t="s">
        <v>185</v>
      </c>
      <c r="I177" s="4" t="str">
        <f t="shared" si="2"/>
        <v>HG02132_pat_hprc_r2_v1.0.1</v>
      </c>
      <c r="J177" t="b">
        <f>IF(COUNTIF('Sheet 1 - assemblies'!B:B,Sheet2!I177)=1,TRUE,FALSE)</f>
        <v>0</v>
      </c>
    </row>
    <row r="178" spans="1:10" x14ac:dyDescent="0.15">
      <c r="A178"/>
      <c r="G178" s="4" t="s">
        <v>186</v>
      </c>
      <c r="I178" s="4" t="str">
        <f t="shared" si="2"/>
        <v>HG02135_mat_hprc_r2_v1.0.1</v>
      </c>
      <c r="J178" t="b">
        <f>IF(COUNTIF('Sheet 1 - assemblies'!B:B,Sheet2!I178)=1,TRUE,FALSE)</f>
        <v>0</v>
      </c>
    </row>
    <row r="179" spans="1:10" x14ac:dyDescent="0.15">
      <c r="A179"/>
      <c r="G179" s="4" t="s">
        <v>187</v>
      </c>
      <c r="I179" s="4" t="str">
        <f t="shared" si="2"/>
        <v>HG02135_pat_hprc_r2_v1.0.1</v>
      </c>
      <c r="J179" t="b">
        <f>IF(COUNTIF('Sheet 1 - assemblies'!B:B,Sheet2!I179)=1,TRUE,FALSE)</f>
        <v>0</v>
      </c>
    </row>
    <row r="180" spans="1:10" x14ac:dyDescent="0.15">
      <c r="A180"/>
      <c r="G180" s="4" t="s">
        <v>188</v>
      </c>
      <c r="I180" s="4" t="str">
        <f t="shared" si="2"/>
        <v>HG02145_mat_hprc_r2_v1.0.1</v>
      </c>
      <c r="J180" t="b">
        <f>IF(COUNTIF('Sheet 1 - assemblies'!B:B,Sheet2!I180)=1,TRUE,FALSE)</f>
        <v>0</v>
      </c>
    </row>
    <row r="181" spans="1:10" x14ac:dyDescent="0.15">
      <c r="A181"/>
      <c r="G181" s="4" t="s">
        <v>189</v>
      </c>
      <c r="I181" s="4" t="str">
        <f t="shared" si="2"/>
        <v>HG02145_pat_hprc_r2_v1.0.1</v>
      </c>
      <c r="J181" t="b">
        <f>IF(COUNTIF('Sheet 1 - assemblies'!B:B,Sheet2!I181)=1,TRUE,FALSE)</f>
        <v>0</v>
      </c>
    </row>
    <row r="182" spans="1:10" x14ac:dyDescent="0.15">
      <c r="A182"/>
      <c r="G182" s="4" t="s">
        <v>190</v>
      </c>
      <c r="I182" s="4" t="str">
        <f t="shared" si="2"/>
        <v>HG02148_mat_hprc_r2_v1.0.1</v>
      </c>
      <c r="J182" t="b">
        <f>IF(COUNTIF('Sheet 1 - assemblies'!B:B,Sheet2!I182)=1,TRUE,FALSE)</f>
        <v>0</v>
      </c>
    </row>
    <row r="183" spans="1:10" x14ac:dyDescent="0.15">
      <c r="A183"/>
      <c r="G183" s="4" t="s">
        <v>191</v>
      </c>
      <c r="I183" s="4" t="str">
        <f t="shared" si="2"/>
        <v>HG02148_pat_hprc_r2_v1.0.1</v>
      </c>
      <c r="J183" t="b">
        <f>IF(COUNTIF('Sheet 1 - assemblies'!B:B,Sheet2!I183)=1,TRUE,FALSE)</f>
        <v>0</v>
      </c>
    </row>
    <row r="184" spans="1:10" x14ac:dyDescent="0.15">
      <c r="A184"/>
      <c r="G184" s="4" t="s">
        <v>192</v>
      </c>
      <c r="I184" s="4" t="str">
        <f t="shared" si="2"/>
        <v>HG02155_hap1_hprc_r2_v1.0.1</v>
      </c>
      <c r="J184" t="b">
        <f>IF(COUNTIF('Sheet 1 - assemblies'!B:B,Sheet2!I184)=1,TRUE,FALSE)</f>
        <v>0</v>
      </c>
    </row>
    <row r="185" spans="1:10" x14ac:dyDescent="0.15">
      <c r="A185"/>
      <c r="G185" s="4" t="s">
        <v>193</v>
      </c>
      <c r="I185" s="4" t="str">
        <f t="shared" si="2"/>
        <v>HG02155_hap2_hprc_r2_v1.0.1</v>
      </c>
      <c r="J185" t="b">
        <f>IF(COUNTIF('Sheet 1 - assemblies'!B:B,Sheet2!I185)=1,TRUE,FALSE)</f>
        <v>0</v>
      </c>
    </row>
    <row r="186" spans="1:10" x14ac:dyDescent="0.15">
      <c r="A186"/>
      <c r="G186" s="4" t="s">
        <v>194</v>
      </c>
      <c r="I186" s="4" t="str">
        <f t="shared" si="2"/>
        <v>HG02165_hap1_hprc_r2_v1.0.1</v>
      </c>
      <c r="J186" t="b">
        <f>IF(COUNTIF('Sheet 1 - assemblies'!B:B,Sheet2!I186)=1,TRUE,FALSE)</f>
        <v>0</v>
      </c>
    </row>
    <row r="187" spans="1:10" x14ac:dyDescent="0.15">
      <c r="A187"/>
      <c r="G187" s="4" t="s">
        <v>195</v>
      </c>
      <c r="I187" s="4" t="str">
        <f t="shared" si="2"/>
        <v>HG02165_hap2_hprc_r2_v1.0.1</v>
      </c>
      <c r="J187" t="b">
        <f>IF(COUNTIF('Sheet 1 - assemblies'!B:B,Sheet2!I187)=1,TRUE,FALSE)</f>
        <v>0</v>
      </c>
    </row>
    <row r="188" spans="1:10" x14ac:dyDescent="0.15">
      <c r="A188"/>
      <c r="G188" s="4" t="s">
        <v>196</v>
      </c>
      <c r="I188" s="4" t="str">
        <f t="shared" si="2"/>
        <v>HG02178_hap1_hprc_r2_v1.0.1</v>
      </c>
      <c r="J188" t="b">
        <f>IF(COUNTIF('Sheet 1 - assemblies'!B:B,Sheet2!I188)=1,TRUE,FALSE)</f>
        <v>0</v>
      </c>
    </row>
    <row r="189" spans="1:10" x14ac:dyDescent="0.15">
      <c r="A189"/>
      <c r="G189" s="4" t="s">
        <v>197</v>
      </c>
      <c r="I189" s="4" t="str">
        <f t="shared" si="2"/>
        <v>HG02178_hap2_hprc_r2_v1.0.1</v>
      </c>
      <c r="J189" t="b">
        <f>IF(COUNTIF('Sheet 1 - assemblies'!B:B,Sheet2!I189)=1,TRUE,FALSE)</f>
        <v>0</v>
      </c>
    </row>
    <row r="190" spans="1:10" x14ac:dyDescent="0.15">
      <c r="A190"/>
      <c r="G190" s="4" t="s">
        <v>198</v>
      </c>
      <c r="I190" s="4" t="str">
        <f t="shared" si="2"/>
        <v>HG02257_mat_hprc_r2_v1.1.0</v>
      </c>
      <c r="J190" t="b">
        <f>IF(COUNTIF('Sheet 1 - assemblies'!B:B,Sheet2!I190)=1,TRUE,FALSE)</f>
        <v>0</v>
      </c>
    </row>
    <row r="191" spans="1:10" x14ac:dyDescent="0.15">
      <c r="A191"/>
      <c r="G191" s="4" t="s">
        <v>199</v>
      </c>
      <c r="I191" s="4" t="str">
        <f t="shared" si="2"/>
        <v>HG02257_pat_hprc_r2_v1.1.0</v>
      </c>
      <c r="J191" t="b">
        <f>IF(COUNTIF('Sheet 1 - assemblies'!B:B,Sheet2!I191)=1,TRUE,FALSE)</f>
        <v>0</v>
      </c>
    </row>
    <row r="192" spans="1:10" x14ac:dyDescent="0.15">
      <c r="A192"/>
      <c r="G192" s="4" t="s">
        <v>200</v>
      </c>
      <c r="I192" s="4" t="str">
        <f t="shared" si="2"/>
        <v>HG02258_mat_hprc_r2_v1.0.1</v>
      </c>
      <c r="J192" t="b">
        <f>IF(COUNTIF('Sheet 1 - assemblies'!B:B,Sheet2!I192)=1,TRUE,FALSE)</f>
        <v>0</v>
      </c>
    </row>
    <row r="193" spans="1:10" x14ac:dyDescent="0.15">
      <c r="A193"/>
      <c r="G193" s="4" t="s">
        <v>201</v>
      </c>
      <c r="I193" s="4" t="str">
        <f t="shared" si="2"/>
        <v>HG02258_pat_hprc_r2_v1.0.1</v>
      </c>
      <c r="J193" t="b">
        <f>IF(COUNTIF('Sheet 1 - assemblies'!B:B,Sheet2!I193)=1,TRUE,FALSE)</f>
        <v>0</v>
      </c>
    </row>
    <row r="194" spans="1:10" x14ac:dyDescent="0.15">
      <c r="A194"/>
      <c r="G194" s="4" t="s">
        <v>202</v>
      </c>
      <c r="I194" s="4" t="str">
        <f t="shared" ref="I194:I257" si="3">LEFT(G194,LEN(G194)-1)</f>
        <v>HG02273_hap1_hprc_r2_v1.0.1</v>
      </c>
      <c r="J194" t="b">
        <f>IF(COUNTIF('Sheet 1 - assemblies'!B:B,Sheet2!I194)=1,TRUE,FALSE)</f>
        <v>0</v>
      </c>
    </row>
    <row r="195" spans="1:10" x14ac:dyDescent="0.15">
      <c r="A195"/>
      <c r="G195" s="4" t="s">
        <v>203</v>
      </c>
      <c r="I195" s="4" t="str">
        <f t="shared" si="3"/>
        <v>HG02273_hap2_hprc_r2_v1.0.1</v>
      </c>
      <c r="J195" t="b">
        <f>IF(COUNTIF('Sheet 1 - assemblies'!B:B,Sheet2!I195)=1,TRUE,FALSE)</f>
        <v>0</v>
      </c>
    </row>
    <row r="196" spans="1:10" x14ac:dyDescent="0.15">
      <c r="A196"/>
      <c r="G196" s="4" t="s">
        <v>204</v>
      </c>
      <c r="I196" s="4" t="str">
        <f t="shared" si="3"/>
        <v>HG02280_mat_hprc_r2_v1.0.1</v>
      </c>
      <c r="J196" t="b">
        <f>IF(COUNTIF('Sheet 1 - assemblies'!B:B,Sheet2!I196)=1,TRUE,FALSE)</f>
        <v>0</v>
      </c>
    </row>
    <row r="197" spans="1:10" x14ac:dyDescent="0.15">
      <c r="A197"/>
      <c r="G197" s="4" t="s">
        <v>205</v>
      </c>
      <c r="I197" s="4" t="str">
        <f t="shared" si="3"/>
        <v>HG02280_pat_hprc_r2_v1.0.1</v>
      </c>
      <c r="J197" t="b">
        <f>IF(COUNTIF('Sheet 1 - assemblies'!B:B,Sheet2!I197)=1,TRUE,FALSE)</f>
        <v>0</v>
      </c>
    </row>
    <row r="198" spans="1:10" x14ac:dyDescent="0.15">
      <c r="A198"/>
      <c r="G198" s="4" t="s">
        <v>206</v>
      </c>
      <c r="I198" s="4" t="str">
        <f t="shared" si="3"/>
        <v>HG02293_mat_hprc_r2_v1.0.1</v>
      </c>
      <c r="J198" t="b">
        <f>IF(COUNTIF('Sheet 1 - assemblies'!B:B,Sheet2!I198)=1,TRUE,FALSE)</f>
        <v>0</v>
      </c>
    </row>
    <row r="199" spans="1:10" x14ac:dyDescent="0.15">
      <c r="A199"/>
      <c r="G199" s="4" t="s">
        <v>207</v>
      </c>
      <c r="I199" s="4" t="str">
        <f t="shared" si="3"/>
        <v>HG02293_pat_hprc_r2_v1.0.1</v>
      </c>
      <c r="J199" t="b">
        <f>IF(COUNTIF('Sheet 1 - assemblies'!B:B,Sheet2!I199)=1,TRUE,FALSE)</f>
        <v>0</v>
      </c>
    </row>
    <row r="200" spans="1:10" x14ac:dyDescent="0.15">
      <c r="A200"/>
      <c r="G200" s="4" t="s">
        <v>208</v>
      </c>
      <c r="I200" s="4" t="str">
        <f t="shared" si="3"/>
        <v>HG02300_mat_hprc_r2_v1.0.1</v>
      </c>
      <c r="J200" t="b">
        <f>IF(COUNTIF('Sheet 1 - assemblies'!B:B,Sheet2!I200)=1,TRUE,FALSE)</f>
        <v>0</v>
      </c>
    </row>
    <row r="201" spans="1:10" x14ac:dyDescent="0.15">
      <c r="A201"/>
      <c r="G201" s="4" t="s">
        <v>209</v>
      </c>
      <c r="I201" s="4" t="str">
        <f t="shared" si="3"/>
        <v>HG02300_pat_hprc_r2_v1.0.1</v>
      </c>
      <c r="J201" t="b">
        <f>IF(COUNTIF('Sheet 1 - assemblies'!B:B,Sheet2!I201)=1,TRUE,FALSE)</f>
        <v>0</v>
      </c>
    </row>
    <row r="202" spans="1:10" x14ac:dyDescent="0.15">
      <c r="A202"/>
      <c r="G202" s="4" t="s">
        <v>210</v>
      </c>
      <c r="I202" s="4" t="str">
        <f t="shared" si="3"/>
        <v>HG02391_hap1_hprc_r2_v1.0.1</v>
      </c>
      <c r="J202" t="b">
        <f>IF(COUNTIF('Sheet 1 - assemblies'!B:B,Sheet2!I202)=1,TRUE,FALSE)</f>
        <v>0</v>
      </c>
    </row>
    <row r="203" spans="1:10" x14ac:dyDescent="0.15">
      <c r="A203"/>
      <c r="G203" s="4" t="s">
        <v>211</v>
      </c>
      <c r="I203" s="4" t="str">
        <f t="shared" si="3"/>
        <v>HG02391_hap2_hprc_r2_v1.0.1</v>
      </c>
      <c r="J203" t="b">
        <f>IF(COUNTIF('Sheet 1 - assemblies'!B:B,Sheet2!I203)=1,TRUE,FALSE)</f>
        <v>0</v>
      </c>
    </row>
    <row r="204" spans="1:10" x14ac:dyDescent="0.15">
      <c r="A204"/>
      <c r="G204" s="4" t="s">
        <v>212</v>
      </c>
      <c r="I204" s="4" t="str">
        <f t="shared" si="3"/>
        <v>HG02392_hap1_hprc_r2_v1.0.1</v>
      </c>
      <c r="J204" t="b">
        <f>IF(COUNTIF('Sheet 1 - assemblies'!B:B,Sheet2!I204)=1,TRUE,FALSE)</f>
        <v>0</v>
      </c>
    </row>
    <row r="205" spans="1:10" x14ac:dyDescent="0.15">
      <c r="A205"/>
      <c r="G205" s="4" t="s">
        <v>213</v>
      </c>
      <c r="I205" s="4" t="str">
        <f t="shared" si="3"/>
        <v>HG02392_hap2_hprc_r2_v1.0.1</v>
      </c>
      <c r="J205" t="b">
        <f>IF(COUNTIF('Sheet 1 - assemblies'!B:B,Sheet2!I205)=1,TRUE,FALSE)</f>
        <v>0</v>
      </c>
    </row>
    <row r="206" spans="1:10" x14ac:dyDescent="0.15">
      <c r="A206"/>
      <c r="G206" s="4" t="s">
        <v>214</v>
      </c>
      <c r="I206" s="4" t="str">
        <f t="shared" si="3"/>
        <v>HG02451_mat_hprc_r2_v1.0.1</v>
      </c>
      <c r="J206" t="b">
        <f>IF(COUNTIF('Sheet 1 - assemblies'!B:B,Sheet2!I206)=1,TRUE,FALSE)</f>
        <v>0</v>
      </c>
    </row>
    <row r="207" spans="1:10" x14ac:dyDescent="0.15">
      <c r="A207"/>
      <c r="G207" s="4" t="s">
        <v>215</v>
      </c>
      <c r="I207" s="4" t="str">
        <f t="shared" si="3"/>
        <v>HG02451_pat_hprc_r2_v1.0.1</v>
      </c>
      <c r="J207" t="b">
        <f>IF(COUNTIF('Sheet 1 - assemblies'!B:B,Sheet2!I207)=1,TRUE,FALSE)</f>
        <v>0</v>
      </c>
    </row>
    <row r="208" spans="1:10" x14ac:dyDescent="0.15">
      <c r="A208"/>
      <c r="G208" s="4" t="s">
        <v>216</v>
      </c>
      <c r="I208" s="4" t="str">
        <f t="shared" si="3"/>
        <v>HG02486_mat_hprc_r2_v1.0.1</v>
      </c>
      <c r="J208" t="b">
        <f>IF(COUNTIF('Sheet 1 - assemblies'!B:B,Sheet2!I208)=1,TRUE,FALSE)</f>
        <v>0</v>
      </c>
    </row>
    <row r="209" spans="1:10" x14ac:dyDescent="0.15">
      <c r="A209"/>
      <c r="G209" s="4" t="s">
        <v>217</v>
      </c>
      <c r="I209" s="4" t="str">
        <f t="shared" si="3"/>
        <v>HG02486_pat_hprc_r2_v1.0.1</v>
      </c>
      <c r="J209" t="b">
        <f>IF(COUNTIF('Sheet 1 - assemblies'!B:B,Sheet2!I209)=1,TRUE,FALSE)</f>
        <v>0</v>
      </c>
    </row>
    <row r="210" spans="1:10" x14ac:dyDescent="0.15">
      <c r="A210"/>
      <c r="G210" s="4" t="s">
        <v>218</v>
      </c>
      <c r="I210" s="4" t="str">
        <f t="shared" si="3"/>
        <v>HG02514_mat_hprc_r2_v1.0.1</v>
      </c>
      <c r="J210" t="b">
        <f>IF(COUNTIF('Sheet 1 - assemblies'!B:B,Sheet2!I210)=1,TRUE,FALSE)</f>
        <v>0</v>
      </c>
    </row>
    <row r="211" spans="1:10" x14ac:dyDescent="0.15">
      <c r="A211"/>
      <c r="G211" s="4" t="s">
        <v>219</v>
      </c>
      <c r="I211" s="4" t="str">
        <f t="shared" si="3"/>
        <v>HG02514_pat_hprc_r2_v1.0.1</v>
      </c>
      <c r="J211" t="b">
        <f>IF(COUNTIF('Sheet 1 - assemblies'!B:B,Sheet2!I211)=1,TRUE,FALSE)</f>
        <v>0</v>
      </c>
    </row>
    <row r="212" spans="1:10" x14ac:dyDescent="0.15">
      <c r="A212"/>
      <c r="G212" s="4" t="s">
        <v>220</v>
      </c>
      <c r="I212" s="4" t="str">
        <f t="shared" si="3"/>
        <v>HG02523_mat_hprc_r2_v1.0.1</v>
      </c>
      <c r="J212" t="b">
        <f>IF(COUNTIF('Sheet 1 - assemblies'!B:B,Sheet2!I212)=1,TRUE,FALSE)</f>
        <v>0</v>
      </c>
    </row>
    <row r="213" spans="1:10" x14ac:dyDescent="0.15">
      <c r="A213"/>
      <c r="G213" s="4" t="s">
        <v>221</v>
      </c>
      <c r="I213" s="4" t="str">
        <f t="shared" si="3"/>
        <v>HG02523_pat_hprc_r2_v1.0.1</v>
      </c>
      <c r="J213" t="b">
        <f>IF(COUNTIF('Sheet 1 - assemblies'!B:B,Sheet2!I213)=1,TRUE,FALSE)</f>
        <v>0</v>
      </c>
    </row>
    <row r="214" spans="1:10" x14ac:dyDescent="0.15">
      <c r="A214"/>
      <c r="G214" s="4" t="s">
        <v>222</v>
      </c>
      <c r="I214" s="4" t="str">
        <f t="shared" si="3"/>
        <v>HG02559_mat_hprc_r2_v1.0.1</v>
      </c>
      <c r="J214" t="b">
        <f>IF(COUNTIF('Sheet 1 - assemblies'!B:B,Sheet2!I214)=1,TRUE,FALSE)</f>
        <v>0</v>
      </c>
    </row>
    <row r="215" spans="1:10" x14ac:dyDescent="0.15">
      <c r="A215"/>
      <c r="G215" s="4" t="s">
        <v>223</v>
      </c>
      <c r="I215" s="4" t="str">
        <f t="shared" si="3"/>
        <v>HG02559_pat_hprc_r2_v1.0.1</v>
      </c>
      <c r="J215" t="b">
        <f>IF(COUNTIF('Sheet 1 - assemblies'!B:B,Sheet2!I215)=1,TRUE,FALSE)</f>
        <v>0</v>
      </c>
    </row>
    <row r="216" spans="1:10" x14ac:dyDescent="0.15">
      <c r="A216"/>
      <c r="G216" s="4" t="s">
        <v>224</v>
      </c>
      <c r="I216" s="4" t="str">
        <f t="shared" si="3"/>
        <v>HG02572_mat_hprc_r2_v1.0.1</v>
      </c>
      <c r="J216" t="b">
        <f>IF(COUNTIF('Sheet 1 - assemblies'!B:B,Sheet2!I216)=1,TRUE,FALSE)</f>
        <v>0</v>
      </c>
    </row>
    <row r="217" spans="1:10" x14ac:dyDescent="0.15">
      <c r="A217"/>
      <c r="G217" s="4" t="s">
        <v>225</v>
      </c>
      <c r="I217" s="4" t="str">
        <f t="shared" si="3"/>
        <v>HG02572_pat_hprc_r2_v1.0.1</v>
      </c>
      <c r="J217" t="b">
        <f>IF(COUNTIF('Sheet 1 - assemblies'!B:B,Sheet2!I217)=1,TRUE,FALSE)</f>
        <v>0</v>
      </c>
    </row>
    <row r="218" spans="1:10" x14ac:dyDescent="0.15">
      <c r="A218"/>
      <c r="G218" s="4" t="s">
        <v>226</v>
      </c>
      <c r="I218" s="4" t="str">
        <f t="shared" si="3"/>
        <v>HG02583_hap1_hprc_r2_v1.0.1</v>
      </c>
      <c r="J218" t="b">
        <f>IF(COUNTIF('Sheet 1 - assemblies'!B:B,Sheet2!I218)=1,TRUE,FALSE)</f>
        <v>0</v>
      </c>
    </row>
    <row r="219" spans="1:10" x14ac:dyDescent="0.15">
      <c r="A219"/>
      <c r="G219" s="4" t="s">
        <v>227</v>
      </c>
      <c r="I219" s="4" t="str">
        <f t="shared" si="3"/>
        <v>HG02583_hap2_hprc_r2_v1.0.1</v>
      </c>
      <c r="J219" t="b">
        <f>IF(COUNTIF('Sheet 1 - assemblies'!B:B,Sheet2!I219)=1,TRUE,FALSE)</f>
        <v>0</v>
      </c>
    </row>
    <row r="220" spans="1:10" x14ac:dyDescent="0.15">
      <c r="A220"/>
      <c r="G220" s="4" t="s">
        <v>228</v>
      </c>
      <c r="I220" s="4" t="str">
        <f t="shared" si="3"/>
        <v>HG02602_mat_hprc_r2_v1.0.1</v>
      </c>
      <c r="J220" t="b">
        <f>IF(COUNTIF('Sheet 1 - assemblies'!B:B,Sheet2!I220)=1,TRUE,FALSE)</f>
        <v>0</v>
      </c>
    </row>
    <row r="221" spans="1:10" x14ac:dyDescent="0.15">
      <c r="A221"/>
      <c r="G221" s="4" t="s">
        <v>229</v>
      </c>
      <c r="I221" s="4" t="str">
        <f t="shared" si="3"/>
        <v>HG02602_pat_hprc_r2_v1.0.1</v>
      </c>
      <c r="J221" t="b">
        <f>IF(COUNTIF('Sheet 1 - assemblies'!B:B,Sheet2!I221)=1,TRUE,FALSE)</f>
        <v>0</v>
      </c>
    </row>
    <row r="222" spans="1:10" x14ac:dyDescent="0.15">
      <c r="A222"/>
      <c r="G222" s="4" t="s">
        <v>230</v>
      </c>
      <c r="I222" s="4" t="str">
        <f t="shared" si="3"/>
        <v>HG02615_mat_hprc_r2_v1.0.1</v>
      </c>
      <c r="J222" t="b">
        <f>IF(COUNTIF('Sheet 1 - assemblies'!B:B,Sheet2!I222)=1,TRUE,FALSE)</f>
        <v>0</v>
      </c>
    </row>
    <row r="223" spans="1:10" x14ac:dyDescent="0.15">
      <c r="A223"/>
      <c r="G223" s="4" t="s">
        <v>231</v>
      </c>
      <c r="I223" s="4" t="str">
        <f t="shared" si="3"/>
        <v>HG02615_pat_hprc_r2_v1.0.1</v>
      </c>
      <c r="J223" t="b">
        <f>IF(COUNTIF('Sheet 1 - assemblies'!B:B,Sheet2!I223)=1,TRUE,FALSE)</f>
        <v>0</v>
      </c>
    </row>
    <row r="224" spans="1:10" x14ac:dyDescent="0.15">
      <c r="A224"/>
      <c r="G224" s="4" t="s">
        <v>232</v>
      </c>
      <c r="I224" s="4" t="str">
        <f t="shared" si="3"/>
        <v>HG02622_mat_hprc_r2_v1.0.1</v>
      </c>
      <c r="J224" t="b">
        <f>IF(COUNTIF('Sheet 1 - assemblies'!B:B,Sheet2!I224)=1,TRUE,FALSE)</f>
        <v>0</v>
      </c>
    </row>
    <row r="225" spans="1:10" x14ac:dyDescent="0.15">
      <c r="A225"/>
      <c r="G225" s="4" t="s">
        <v>233</v>
      </c>
      <c r="I225" s="4" t="str">
        <f t="shared" si="3"/>
        <v>HG02622_pat_hprc_r2_v1.0.1</v>
      </c>
      <c r="J225" t="b">
        <f>IF(COUNTIF('Sheet 1 - assemblies'!B:B,Sheet2!I225)=1,TRUE,FALSE)</f>
        <v>0</v>
      </c>
    </row>
    <row r="226" spans="1:10" x14ac:dyDescent="0.15">
      <c r="A226"/>
      <c r="G226" s="4" t="s">
        <v>234</v>
      </c>
      <c r="I226" s="4" t="str">
        <f t="shared" si="3"/>
        <v>HG02630_mat_hprc_r2_v1.0.1</v>
      </c>
      <c r="J226" t="b">
        <f>IF(COUNTIF('Sheet 1 - assemblies'!B:B,Sheet2!I226)=1,TRUE,FALSE)</f>
        <v>0</v>
      </c>
    </row>
    <row r="227" spans="1:10" x14ac:dyDescent="0.15">
      <c r="A227"/>
      <c r="G227" s="4" t="s">
        <v>235</v>
      </c>
      <c r="I227" s="4" t="str">
        <f t="shared" si="3"/>
        <v>HG02630_pat_hprc_r2_v1.0.1</v>
      </c>
      <c r="J227" t="b">
        <f>IF(COUNTIF('Sheet 1 - assemblies'!B:B,Sheet2!I227)=1,TRUE,FALSE)</f>
        <v>0</v>
      </c>
    </row>
    <row r="228" spans="1:10" x14ac:dyDescent="0.15">
      <c r="A228"/>
      <c r="G228" s="4" t="s">
        <v>236</v>
      </c>
      <c r="I228" s="4" t="str">
        <f t="shared" si="3"/>
        <v>HG02647_mat_hprc_r2_v1.0.1</v>
      </c>
      <c r="J228" t="b">
        <f>IF(COUNTIF('Sheet 1 - assemblies'!B:B,Sheet2!I228)=1,TRUE,FALSE)</f>
        <v>0</v>
      </c>
    </row>
    <row r="229" spans="1:10" x14ac:dyDescent="0.15">
      <c r="A229"/>
      <c r="G229" s="4" t="s">
        <v>237</v>
      </c>
      <c r="I229" s="4" t="str">
        <f t="shared" si="3"/>
        <v>HG02647_pat_hprc_r2_v1.0.1</v>
      </c>
      <c r="J229" t="b">
        <f>IF(COUNTIF('Sheet 1 - assemblies'!B:B,Sheet2!I229)=1,TRUE,FALSE)</f>
        <v>0</v>
      </c>
    </row>
    <row r="230" spans="1:10" x14ac:dyDescent="0.15">
      <c r="A230"/>
      <c r="G230" s="4" t="s">
        <v>238</v>
      </c>
      <c r="I230" s="4" t="str">
        <f t="shared" si="3"/>
        <v>HG02668_mat_hprc_r2_v1.0.1</v>
      </c>
      <c r="J230" t="b">
        <f>IF(COUNTIF('Sheet 1 - assemblies'!B:B,Sheet2!I230)=1,TRUE,FALSE)</f>
        <v>0</v>
      </c>
    </row>
    <row r="231" spans="1:10" x14ac:dyDescent="0.15">
      <c r="A231"/>
      <c r="G231" s="4" t="s">
        <v>239</v>
      </c>
      <c r="I231" s="4" t="str">
        <f t="shared" si="3"/>
        <v>HG02668_pat_hprc_r2_v1.0.1</v>
      </c>
      <c r="J231" t="b">
        <f>IF(COUNTIF('Sheet 1 - assemblies'!B:B,Sheet2!I231)=1,TRUE,FALSE)</f>
        <v>0</v>
      </c>
    </row>
    <row r="232" spans="1:10" x14ac:dyDescent="0.15">
      <c r="A232"/>
      <c r="G232" s="4" t="s">
        <v>240</v>
      </c>
      <c r="I232" s="4" t="str">
        <f t="shared" si="3"/>
        <v>HG02698_mat_hprc_r2_v1.0.1</v>
      </c>
      <c r="J232" t="b">
        <f>IF(COUNTIF('Sheet 1 - assemblies'!B:B,Sheet2!I232)=1,TRUE,FALSE)</f>
        <v>0</v>
      </c>
    </row>
    <row r="233" spans="1:10" x14ac:dyDescent="0.15">
      <c r="A233"/>
      <c r="G233" s="4" t="s">
        <v>241</v>
      </c>
      <c r="I233" s="4" t="str">
        <f t="shared" si="3"/>
        <v>HG02698_pat_hprc_r2_v1.0.1</v>
      </c>
      <c r="J233" t="b">
        <f>IF(COUNTIF('Sheet 1 - assemblies'!B:B,Sheet2!I233)=1,TRUE,FALSE)</f>
        <v>0</v>
      </c>
    </row>
    <row r="234" spans="1:10" x14ac:dyDescent="0.15">
      <c r="A234"/>
      <c r="G234" s="4" t="s">
        <v>242</v>
      </c>
      <c r="I234" s="4" t="str">
        <f t="shared" si="3"/>
        <v>HG02717_mat_hprc_r2_v1.0.1</v>
      </c>
      <c r="J234" t="b">
        <f>IF(COUNTIF('Sheet 1 - assemblies'!B:B,Sheet2!I234)=1,TRUE,FALSE)</f>
        <v>0</v>
      </c>
    </row>
    <row r="235" spans="1:10" x14ac:dyDescent="0.15">
      <c r="A235"/>
      <c r="G235" s="4" t="s">
        <v>243</v>
      </c>
      <c r="I235" s="4" t="str">
        <f t="shared" si="3"/>
        <v>HG02717_pat_hprc_r2_v1.0.1</v>
      </c>
      <c r="J235" t="b">
        <f>IF(COUNTIF('Sheet 1 - assemblies'!B:B,Sheet2!I235)=1,TRUE,FALSE)</f>
        <v>0</v>
      </c>
    </row>
    <row r="236" spans="1:10" x14ac:dyDescent="0.15">
      <c r="A236"/>
      <c r="G236" s="4" t="s">
        <v>244</v>
      </c>
      <c r="I236" s="4" t="str">
        <f t="shared" si="3"/>
        <v>HG02723_mat_hprc_r2_v1.0.1</v>
      </c>
      <c r="J236" t="b">
        <f>IF(COUNTIF('Sheet 1 - assemblies'!B:B,Sheet2!I236)=1,TRUE,FALSE)</f>
        <v>0</v>
      </c>
    </row>
    <row r="237" spans="1:10" x14ac:dyDescent="0.15">
      <c r="A237"/>
      <c r="G237" s="4" t="s">
        <v>245</v>
      </c>
      <c r="I237" s="4" t="str">
        <f t="shared" si="3"/>
        <v>HG02723_pat_hprc_r2_v1.0.1</v>
      </c>
      <c r="J237" t="b">
        <f>IF(COUNTIF('Sheet 1 - assemblies'!B:B,Sheet2!I237)=1,TRUE,FALSE)</f>
        <v>0</v>
      </c>
    </row>
    <row r="238" spans="1:10" x14ac:dyDescent="0.15">
      <c r="A238"/>
      <c r="G238" s="4" t="s">
        <v>246</v>
      </c>
      <c r="I238" s="4" t="str">
        <f t="shared" si="3"/>
        <v>HG02735_mat_hprc_r2_v1.0.1</v>
      </c>
      <c r="J238" t="b">
        <f>IF(COUNTIF('Sheet 1 - assemblies'!B:B,Sheet2!I238)=1,TRUE,FALSE)</f>
        <v>0</v>
      </c>
    </row>
    <row r="239" spans="1:10" x14ac:dyDescent="0.15">
      <c r="A239"/>
      <c r="G239" s="4" t="s">
        <v>247</v>
      </c>
      <c r="I239" s="4" t="str">
        <f t="shared" si="3"/>
        <v>HG02735_pat_hprc_r2_v1.0.1</v>
      </c>
      <c r="J239" t="b">
        <f>IF(COUNTIF('Sheet 1 - assemblies'!B:B,Sheet2!I239)=1,TRUE,FALSE)</f>
        <v>0</v>
      </c>
    </row>
    <row r="240" spans="1:10" x14ac:dyDescent="0.15">
      <c r="A240"/>
      <c r="G240" s="4" t="s">
        <v>248</v>
      </c>
      <c r="I240" s="4" t="str">
        <f t="shared" si="3"/>
        <v>HG02738_mat_hprc_r2_v1.0.1</v>
      </c>
      <c r="J240" t="b">
        <f>IF(COUNTIF('Sheet 1 - assemblies'!B:B,Sheet2!I240)=1,TRUE,FALSE)</f>
        <v>0</v>
      </c>
    </row>
    <row r="241" spans="1:10" x14ac:dyDescent="0.15">
      <c r="A241"/>
      <c r="G241" s="4" t="s">
        <v>249</v>
      </c>
      <c r="I241" s="4" t="str">
        <f t="shared" si="3"/>
        <v>HG02738_pat_hprc_r2_v1.0.1</v>
      </c>
      <c r="J241" t="b">
        <f>IF(COUNTIF('Sheet 1 - assemblies'!B:B,Sheet2!I241)=1,TRUE,FALSE)</f>
        <v>0</v>
      </c>
    </row>
    <row r="242" spans="1:10" x14ac:dyDescent="0.15">
      <c r="A242"/>
      <c r="G242" s="4" t="s">
        <v>250</v>
      </c>
      <c r="I242" s="4" t="str">
        <f t="shared" si="3"/>
        <v>HG02809_mat_hprc_r2_v1.0.1</v>
      </c>
      <c r="J242" t="b">
        <f>IF(COUNTIF('Sheet 1 - assemblies'!B:B,Sheet2!I242)=1,TRUE,FALSE)</f>
        <v>0</v>
      </c>
    </row>
    <row r="243" spans="1:10" x14ac:dyDescent="0.15">
      <c r="A243"/>
      <c r="G243" s="4" t="s">
        <v>251</v>
      </c>
      <c r="I243" s="4" t="str">
        <f t="shared" si="3"/>
        <v>HG02809_pat_hprc_r2_v1.0.1</v>
      </c>
      <c r="J243" t="b">
        <f>IF(COUNTIF('Sheet 1 - assemblies'!B:B,Sheet2!I243)=1,TRUE,FALSE)</f>
        <v>0</v>
      </c>
    </row>
    <row r="244" spans="1:10" x14ac:dyDescent="0.15">
      <c r="A244"/>
      <c r="G244" s="4" t="s">
        <v>252</v>
      </c>
      <c r="I244" s="4" t="str">
        <f t="shared" si="3"/>
        <v>HG02818_mat_hprc_r2_v1.0.1</v>
      </c>
      <c r="J244" t="b">
        <f>IF(COUNTIF('Sheet 1 - assemblies'!B:B,Sheet2!I244)=1,TRUE,FALSE)</f>
        <v>0</v>
      </c>
    </row>
    <row r="245" spans="1:10" x14ac:dyDescent="0.15">
      <c r="A245"/>
      <c r="G245" s="4" t="s">
        <v>253</v>
      </c>
      <c r="I245" s="4" t="str">
        <f t="shared" si="3"/>
        <v>HG02818_pat_hprc_r2_v1.0.1</v>
      </c>
      <c r="J245" t="b">
        <f>IF(COUNTIF('Sheet 1 - assemblies'!B:B,Sheet2!I245)=1,TRUE,FALSE)</f>
        <v>0</v>
      </c>
    </row>
    <row r="246" spans="1:10" x14ac:dyDescent="0.15">
      <c r="A246"/>
      <c r="G246" s="4" t="s">
        <v>254</v>
      </c>
      <c r="I246" s="4" t="str">
        <f t="shared" si="3"/>
        <v>HG02841_mat_hprc_r2_v1.0.1</v>
      </c>
      <c r="J246" t="b">
        <f>IF(COUNTIF('Sheet 1 - assemblies'!B:B,Sheet2!I246)=1,TRUE,FALSE)</f>
        <v>0</v>
      </c>
    </row>
    <row r="247" spans="1:10" x14ac:dyDescent="0.15">
      <c r="A247"/>
      <c r="G247" s="4" t="s">
        <v>255</v>
      </c>
      <c r="I247" s="4" t="str">
        <f t="shared" si="3"/>
        <v>HG02841_pat_hprc_r2_v1.0.1</v>
      </c>
      <c r="J247" t="b">
        <f>IF(COUNTIF('Sheet 1 - assemblies'!B:B,Sheet2!I247)=1,TRUE,FALSE)</f>
        <v>0</v>
      </c>
    </row>
    <row r="248" spans="1:10" x14ac:dyDescent="0.15">
      <c r="A248"/>
      <c r="G248" s="4" t="s">
        <v>256</v>
      </c>
      <c r="I248" s="4" t="str">
        <f t="shared" si="3"/>
        <v>HG02886_mat_hprc_r2_v1.0.1</v>
      </c>
      <c r="J248" t="b">
        <f>IF(COUNTIF('Sheet 1 - assemblies'!B:B,Sheet2!I248)=1,TRUE,FALSE)</f>
        <v>0</v>
      </c>
    </row>
    <row r="249" spans="1:10" x14ac:dyDescent="0.15">
      <c r="A249"/>
      <c r="G249" s="4" t="s">
        <v>257</v>
      </c>
      <c r="I249" s="4" t="str">
        <f t="shared" si="3"/>
        <v>HG02886_pat_hprc_r2_v1.0.1</v>
      </c>
      <c r="J249" t="b">
        <f>IF(COUNTIF('Sheet 1 - assemblies'!B:B,Sheet2!I249)=1,TRUE,FALSE)</f>
        <v>0</v>
      </c>
    </row>
    <row r="250" spans="1:10" x14ac:dyDescent="0.15">
      <c r="A250"/>
      <c r="G250" s="4" t="s">
        <v>258</v>
      </c>
      <c r="I250" s="4" t="str">
        <f t="shared" si="3"/>
        <v>HG02922_hap1_hprc_r2_v1.0.1</v>
      </c>
      <c r="J250" t="b">
        <f>IF(COUNTIF('Sheet 1 - assemblies'!B:B,Sheet2!I250)=1,TRUE,FALSE)</f>
        <v>0</v>
      </c>
    </row>
    <row r="251" spans="1:10" x14ac:dyDescent="0.15">
      <c r="A251"/>
      <c r="G251" s="4" t="s">
        <v>259</v>
      </c>
      <c r="I251" s="4" t="str">
        <f t="shared" si="3"/>
        <v>HG02922_hap2_hprc_r2_v1.0.1</v>
      </c>
      <c r="J251" t="b">
        <f>IF(COUNTIF('Sheet 1 - assemblies'!B:B,Sheet2!I251)=1,TRUE,FALSE)</f>
        <v>0</v>
      </c>
    </row>
    <row r="252" spans="1:10" x14ac:dyDescent="0.15">
      <c r="A252"/>
      <c r="G252" s="4" t="s">
        <v>260</v>
      </c>
      <c r="I252" s="4" t="str">
        <f t="shared" si="3"/>
        <v>HG02965_hap1_hprc_r2_v1.0.1</v>
      </c>
      <c r="J252" t="b">
        <f>IF(COUNTIF('Sheet 1 - assemblies'!B:B,Sheet2!I252)=1,TRUE,FALSE)</f>
        <v>0</v>
      </c>
    </row>
    <row r="253" spans="1:10" x14ac:dyDescent="0.15">
      <c r="A253"/>
      <c r="G253" s="4" t="s">
        <v>261</v>
      </c>
      <c r="I253" s="4" t="str">
        <f t="shared" si="3"/>
        <v>HG02965_hap2_hprc_r2_v1.0.1</v>
      </c>
      <c r="J253" t="b">
        <f>IF(COUNTIF('Sheet 1 - assemblies'!B:B,Sheet2!I253)=1,TRUE,FALSE)</f>
        <v>0</v>
      </c>
    </row>
    <row r="254" spans="1:10" x14ac:dyDescent="0.15">
      <c r="A254"/>
      <c r="G254" s="4" t="s">
        <v>262</v>
      </c>
      <c r="I254" s="4" t="str">
        <f t="shared" si="3"/>
        <v>HG02976_hap1_hprc_r2_v1.0.1</v>
      </c>
      <c r="J254" t="b">
        <f>IF(COUNTIF('Sheet 1 - assemblies'!B:B,Sheet2!I254)=1,TRUE,FALSE)</f>
        <v>0</v>
      </c>
    </row>
    <row r="255" spans="1:10" x14ac:dyDescent="0.15">
      <c r="A255"/>
      <c r="G255" s="4" t="s">
        <v>263</v>
      </c>
      <c r="I255" s="4" t="str">
        <f t="shared" si="3"/>
        <v>HG02976_hap2_hprc_r2_v1.0.1</v>
      </c>
      <c r="J255" t="b">
        <f>IF(COUNTIF('Sheet 1 - assemblies'!B:B,Sheet2!I255)=1,TRUE,FALSE)</f>
        <v>0</v>
      </c>
    </row>
    <row r="256" spans="1:10" x14ac:dyDescent="0.15">
      <c r="A256"/>
      <c r="G256" s="4" t="s">
        <v>264</v>
      </c>
      <c r="I256" s="4" t="str">
        <f t="shared" si="3"/>
        <v>HG02984_mat_hprc_r2_v1.0.1</v>
      </c>
      <c r="J256" t="b">
        <f>IF(COUNTIF('Sheet 1 - assemblies'!B:B,Sheet2!I256)=1,TRUE,FALSE)</f>
        <v>0</v>
      </c>
    </row>
    <row r="257" spans="1:10" x14ac:dyDescent="0.15">
      <c r="A257"/>
      <c r="G257" s="4" t="s">
        <v>265</v>
      </c>
      <c r="I257" s="4" t="str">
        <f t="shared" si="3"/>
        <v>HG02984_pat_hprc_r2_v1.0.1</v>
      </c>
      <c r="J257" t="b">
        <f>IF(COUNTIF('Sheet 1 - assemblies'!B:B,Sheet2!I257)=1,TRUE,FALSE)</f>
        <v>0</v>
      </c>
    </row>
    <row r="258" spans="1:10" x14ac:dyDescent="0.15">
      <c r="A258"/>
      <c r="G258" s="4" t="s">
        <v>266</v>
      </c>
      <c r="I258" s="4" t="str">
        <f t="shared" ref="I258:I321" si="4">LEFT(G258,LEN(G258)-1)</f>
        <v>HG03017_mat_hprc_r2_v1.0.1</v>
      </c>
      <c r="J258" t="b">
        <f>IF(COUNTIF('Sheet 1 - assemblies'!B:B,Sheet2!I258)=1,TRUE,FALSE)</f>
        <v>0</v>
      </c>
    </row>
    <row r="259" spans="1:10" x14ac:dyDescent="0.15">
      <c r="A259"/>
      <c r="G259" s="4" t="s">
        <v>267</v>
      </c>
      <c r="I259" s="4" t="str">
        <f t="shared" si="4"/>
        <v>HG03017_pat_hprc_r2_v1.0.1</v>
      </c>
      <c r="J259" t="b">
        <f>IF(COUNTIF('Sheet 1 - assemblies'!B:B,Sheet2!I259)=1,TRUE,FALSE)</f>
        <v>0</v>
      </c>
    </row>
    <row r="260" spans="1:10" x14ac:dyDescent="0.15">
      <c r="A260"/>
      <c r="G260" s="4" t="s">
        <v>268</v>
      </c>
      <c r="I260" s="4" t="str">
        <f t="shared" si="4"/>
        <v>HG03041_mat_hprc_r2_v1.0.1</v>
      </c>
      <c r="J260" t="b">
        <f>IF(COUNTIF('Sheet 1 - assemblies'!B:B,Sheet2!I260)=1,TRUE,FALSE)</f>
        <v>0</v>
      </c>
    </row>
    <row r="261" spans="1:10" x14ac:dyDescent="0.15">
      <c r="A261"/>
      <c r="G261" s="4" t="s">
        <v>269</v>
      </c>
      <c r="I261" s="4" t="str">
        <f t="shared" si="4"/>
        <v>HG03041_pat_hprc_r2_v1.0.1</v>
      </c>
      <c r="J261" t="b">
        <f>IF(COUNTIF('Sheet 1 - assemblies'!B:B,Sheet2!I261)=1,TRUE,FALSE)</f>
        <v>0</v>
      </c>
    </row>
    <row r="262" spans="1:10" x14ac:dyDescent="0.15">
      <c r="A262"/>
      <c r="G262" s="4" t="s">
        <v>270</v>
      </c>
      <c r="I262" s="4" t="str">
        <f t="shared" si="4"/>
        <v>HG03050_mat_hprc_r2_v1.0.1</v>
      </c>
      <c r="J262" t="b">
        <f>IF(COUNTIF('Sheet 1 - assemblies'!B:B,Sheet2!I262)=1,TRUE,FALSE)</f>
        <v>0</v>
      </c>
    </row>
    <row r="263" spans="1:10" x14ac:dyDescent="0.15">
      <c r="A263"/>
      <c r="G263" s="4" t="s">
        <v>271</v>
      </c>
      <c r="I263" s="4" t="str">
        <f t="shared" si="4"/>
        <v>HG03050_pat_hprc_r2_v1.0.1</v>
      </c>
      <c r="J263" t="b">
        <f>IF(COUNTIF('Sheet 1 - assemblies'!B:B,Sheet2!I263)=1,TRUE,FALSE)</f>
        <v>0</v>
      </c>
    </row>
    <row r="264" spans="1:10" x14ac:dyDescent="0.15">
      <c r="A264"/>
      <c r="G264" s="4" t="s">
        <v>272</v>
      </c>
      <c r="I264" s="4" t="str">
        <f t="shared" si="4"/>
        <v>HG03098_mat_hprc_r2_v1.0.1</v>
      </c>
      <c r="J264" t="b">
        <f>IF(COUNTIF('Sheet 1 - assemblies'!B:B,Sheet2!I264)=1,TRUE,FALSE)</f>
        <v>0</v>
      </c>
    </row>
    <row r="265" spans="1:10" x14ac:dyDescent="0.15">
      <c r="A265"/>
      <c r="G265" s="4" t="s">
        <v>273</v>
      </c>
      <c r="I265" s="4" t="str">
        <f t="shared" si="4"/>
        <v>HG03098_pat_hprc_r2_v1.0.1</v>
      </c>
      <c r="J265" t="b">
        <f>IF(COUNTIF('Sheet 1 - assemblies'!B:B,Sheet2!I265)=1,TRUE,FALSE)</f>
        <v>0</v>
      </c>
    </row>
    <row r="266" spans="1:10" x14ac:dyDescent="0.15">
      <c r="A266"/>
      <c r="G266" s="4" t="s">
        <v>274</v>
      </c>
      <c r="I266" s="4" t="str">
        <f t="shared" si="4"/>
        <v>HG03130_hap1_hprc_r2_v1.0.1</v>
      </c>
      <c r="J266" t="b">
        <f>IF(COUNTIF('Sheet 1 - assemblies'!B:B,Sheet2!I266)=1,TRUE,FALSE)</f>
        <v>0</v>
      </c>
    </row>
    <row r="267" spans="1:10" x14ac:dyDescent="0.15">
      <c r="A267"/>
      <c r="G267" s="4" t="s">
        <v>275</v>
      </c>
      <c r="I267" s="4" t="str">
        <f t="shared" si="4"/>
        <v>HG03130_hap2_hprc_r2_v1.0.1</v>
      </c>
      <c r="J267" t="b">
        <f>IF(COUNTIF('Sheet 1 - assemblies'!B:B,Sheet2!I267)=1,TRUE,FALSE)</f>
        <v>0</v>
      </c>
    </row>
    <row r="268" spans="1:10" x14ac:dyDescent="0.15">
      <c r="A268"/>
      <c r="G268" s="4" t="s">
        <v>276</v>
      </c>
      <c r="I268" s="4" t="str">
        <f t="shared" si="4"/>
        <v>HG03139_hap1_hprc_r2_v1.0.1</v>
      </c>
      <c r="J268" t="b">
        <f>IF(COUNTIF('Sheet 1 - assemblies'!B:B,Sheet2!I268)=1,TRUE,FALSE)</f>
        <v>0</v>
      </c>
    </row>
    <row r="269" spans="1:10" x14ac:dyDescent="0.15">
      <c r="A269"/>
      <c r="G269" s="4" t="s">
        <v>277</v>
      </c>
      <c r="I269" s="4" t="str">
        <f t="shared" si="4"/>
        <v>HG03139_hap2_hprc_r2_v1.0.1</v>
      </c>
      <c r="J269" t="b">
        <f>IF(COUNTIF('Sheet 1 - assemblies'!B:B,Sheet2!I269)=1,TRUE,FALSE)</f>
        <v>0</v>
      </c>
    </row>
    <row r="270" spans="1:10" x14ac:dyDescent="0.15">
      <c r="A270"/>
      <c r="G270" s="4" t="s">
        <v>278</v>
      </c>
      <c r="I270" s="4" t="str">
        <f t="shared" si="4"/>
        <v>HG03195_hap1_hprc_r2_v1.0.1</v>
      </c>
      <c r="J270" t="b">
        <f>IF(COUNTIF('Sheet 1 - assemblies'!B:B,Sheet2!I270)=1,TRUE,FALSE)</f>
        <v>0</v>
      </c>
    </row>
    <row r="271" spans="1:10" x14ac:dyDescent="0.15">
      <c r="A271"/>
      <c r="G271" s="4" t="s">
        <v>279</v>
      </c>
      <c r="I271" s="4" t="str">
        <f t="shared" si="4"/>
        <v>HG03195_hap2_hprc_r2_v1.0.1</v>
      </c>
      <c r="J271" t="b">
        <f>IF(COUNTIF('Sheet 1 - assemblies'!B:B,Sheet2!I271)=1,TRUE,FALSE)</f>
        <v>0</v>
      </c>
    </row>
    <row r="272" spans="1:10" x14ac:dyDescent="0.15">
      <c r="A272"/>
      <c r="G272" s="4" t="s">
        <v>280</v>
      </c>
      <c r="I272" s="4" t="str">
        <f t="shared" si="4"/>
        <v>HG03209_hap1_hprc_r2_v1.0.1</v>
      </c>
      <c r="J272" t="b">
        <f>IF(COUNTIF('Sheet 1 - assemblies'!B:B,Sheet2!I272)=1,TRUE,FALSE)</f>
        <v>0</v>
      </c>
    </row>
    <row r="273" spans="1:10" x14ac:dyDescent="0.15">
      <c r="A273"/>
      <c r="G273" s="4" t="s">
        <v>281</v>
      </c>
      <c r="I273" s="4" t="str">
        <f t="shared" si="4"/>
        <v>HG03209_hap2_hprc_r2_v1.0.1</v>
      </c>
      <c r="J273" t="b">
        <f>IF(COUNTIF('Sheet 1 - assemblies'!B:B,Sheet2!I273)=1,TRUE,FALSE)</f>
        <v>0</v>
      </c>
    </row>
    <row r="274" spans="1:10" x14ac:dyDescent="0.15">
      <c r="A274"/>
      <c r="G274" s="4" t="s">
        <v>282</v>
      </c>
      <c r="I274" s="4" t="str">
        <f t="shared" si="4"/>
        <v>HG03225_hap1_hprc_r2_v1.0.1</v>
      </c>
      <c r="J274" t="b">
        <f>IF(COUNTIF('Sheet 1 - assemblies'!B:B,Sheet2!I274)=1,TRUE,FALSE)</f>
        <v>0</v>
      </c>
    </row>
    <row r="275" spans="1:10" x14ac:dyDescent="0.15">
      <c r="A275"/>
      <c r="G275" s="4" t="s">
        <v>283</v>
      </c>
      <c r="I275" s="4" t="str">
        <f t="shared" si="4"/>
        <v>HG03225_hap2_hprc_r2_v1.0.1</v>
      </c>
      <c r="J275" t="b">
        <f>IF(COUNTIF('Sheet 1 - assemblies'!B:B,Sheet2!I275)=1,TRUE,FALSE)</f>
        <v>0</v>
      </c>
    </row>
    <row r="276" spans="1:10" x14ac:dyDescent="0.15">
      <c r="A276"/>
      <c r="G276" s="4" t="s">
        <v>284</v>
      </c>
      <c r="I276" s="4" t="str">
        <f t="shared" si="4"/>
        <v>HG03239_mat_hprc_r2_v1.0.1</v>
      </c>
      <c r="J276" t="b">
        <f>IF(COUNTIF('Sheet 1 - assemblies'!B:B,Sheet2!I276)=1,TRUE,FALSE)</f>
        <v>0</v>
      </c>
    </row>
    <row r="277" spans="1:10" x14ac:dyDescent="0.15">
      <c r="A277"/>
      <c r="G277" s="4" t="s">
        <v>285</v>
      </c>
      <c r="I277" s="4" t="str">
        <f t="shared" si="4"/>
        <v>HG03239_pat_hprc_r2_v1.0.1</v>
      </c>
      <c r="J277" t="b">
        <f>IF(COUNTIF('Sheet 1 - assemblies'!B:B,Sheet2!I277)=1,TRUE,FALSE)</f>
        <v>0</v>
      </c>
    </row>
    <row r="278" spans="1:10" x14ac:dyDescent="0.15">
      <c r="A278"/>
      <c r="G278" s="4" t="s">
        <v>286</v>
      </c>
      <c r="I278" s="4" t="str">
        <f t="shared" si="4"/>
        <v>HG03270_hap1_hprc_r2_v1.0.1</v>
      </c>
      <c r="J278" t="b">
        <f>IF(COUNTIF('Sheet 1 - assemblies'!B:B,Sheet2!I278)=1,TRUE,FALSE)</f>
        <v>0</v>
      </c>
    </row>
    <row r="279" spans="1:10" x14ac:dyDescent="0.15">
      <c r="A279"/>
      <c r="G279" s="4" t="s">
        <v>287</v>
      </c>
      <c r="I279" s="4" t="str">
        <f t="shared" si="4"/>
        <v>HG03270_hap2_hprc_r2_v1.0.1</v>
      </c>
      <c r="J279" t="b">
        <f>IF(COUNTIF('Sheet 1 - assemblies'!B:B,Sheet2!I279)=1,TRUE,FALSE)</f>
        <v>0</v>
      </c>
    </row>
    <row r="280" spans="1:10" x14ac:dyDescent="0.15">
      <c r="A280"/>
      <c r="G280" s="4" t="s">
        <v>288</v>
      </c>
      <c r="I280" s="4" t="str">
        <f t="shared" si="4"/>
        <v>HG03369_hap1_hprc_r2_v1.0.1</v>
      </c>
      <c r="J280" t="b">
        <f>IF(COUNTIF('Sheet 1 - assemblies'!B:B,Sheet2!I280)=1,TRUE,FALSE)</f>
        <v>0</v>
      </c>
    </row>
    <row r="281" spans="1:10" x14ac:dyDescent="0.15">
      <c r="A281"/>
      <c r="G281" s="4" t="s">
        <v>289</v>
      </c>
      <c r="I281" s="4" t="str">
        <f t="shared" si="4"/>
        <v>HG03369_hap2_hprc_r2_v1.0.1</v>
      </c>
      <c r="J281" t="b">
        <f>IF(COUNTIF('Sheet 1 - assemblies'!B:B,Sheet2!I281)=1,TRUE,FALSE)</f>
        <v>0</v>
      </c>
    </row>
    <row r="282" spans="1:10" x14ac:dyDescent="0.15">
      <c r="A282"/>
      <c r="G282" s="4" t="s">
        <v>290</v>
      </c>
      <c r="I282" s="4" t="str">
        <f t="shared" si="4"/>
        <v>HG03453_mat_hprc_r2_v1.0.1</v>
      </c>
      <c r="J282" t="b">
        <f>IF(COUNTIF('Sheet 1 - assemblies'!B:B,Sheet2!I282)=1,TRUE,FALSE)</f>
        <v>0</v>
      </c>
    </row>
    <row r="283" spans="1:10" x14ac:dyDescent="0.15">
      <c r="A283"/>
      <c r="G283" s="4" t="s">
        <v>291</v>
      </c>
      <c r="I283" s="4" t="str">
        <f t="shared" si="4"/>
        <v>HG03453_pat_hprc_r2_v1.0.1</v>
      </c>
      <c r="J283" t="b">
        <f>IF(COUNTIF('Sheet 1 - assemblies'!B:B,Sheet2!I283)=1,TRUE,FALSE)</f>
        <v>0</v>
      </c>
    </row>
    <row r="284" spans="1:10" x14ac:dyDescent="0.15">
      <c r="A284"/>
      <c r="G284" s="4" t="s">
        <v>292</v>
      </c>
      <c r="I284" s="4" t="str">
        <f t="shared" si="4"/>
        <v>HG03470_hap1_hprc_r2_v1.0.1</v>
      </c>
      <c r="J284" t="b">
        <f>IF(COUNTIF('Sheet 1 - assemblies'!B:B,Sheet2!I284)=1,TRUE,FALSE)</f>
        <v>0</v>
      </c>
    </row>
    <row r="285" spans="1:10" x14ac:dyDescent="0.15">
      <c r="A285"/>
      <c r="G285" s="4" t="s">
        <v>293</v>
      </c>
      <c r="I285" s="4" t="str">
        <f t="shared" si="4"/>
        <v>HG03470_hap2_hprc_r2_v1.0.1</v>
      </c>
      <c r="J285" t="b">
        <f>IF(COUNTIF('Sheet 1 - assemblies'!B:B,Sheet2!I285)=1,TRUE,FALSE)</f>
        <v>0</v>
      </c>
    </row>
    <row r="286" spans="1:10" x14ac:dyDescent="0.15">
      <c r="A286"/>
      <c r="G286" s="4" t="s">
        <v>294</v>
      </c>
      <c r="I286" s="4" t="str">
        <f t="shared" si="4"/>
        <v>HG03471_hap1_hprc_r2_v1.0.1</v>
      </c>
      <c r="J286" t="b">
        <f>IF(COUNTIF('Sheet 1 - assemblies'!B:B,Sheet2!I286)=1,TRUE,FALSE)</f>
        <v>0</v>
      </c>
    </row>
    <row r="287" spans="1:10" x14ac:dyDescent="0.15">
      <c r="A287"/>
      <c r="G287" s="4" t="s">
        <v>295</v>
      </c>
      <c r="I287" s="4" t="str">
        <f t="shared" si="4"/>
        <v>HG03471_hap2_hprc_r2_v1.0.1</v>
      </c>
      <c r="J287" t="b">
        <f>IF(COUNTIF('Sheet 1 - assemblies'!B:B,Sheet2!I287)=1,TRUE,FALSE)</f>
        <v>0</v>
      </c>
    </row>
    <row r="288" spans="1:10" x14ac:dyDescent="0.15">
      <c r="A288"/>
      <c r="G288" s="4" t="s">
        <v>296</v>
      </c>
      <c r="I288" s="4" t="str">
        <f t="shared" si="4"/>
        <v>HG03486_mat_hprc_r2_v1.0.1</v>
      </c>
      <c r="J288" t="b">
        <f>IF(COUNTIF('Sheet 1 - assemblies'!B:B,Sheet2!I288)=1,TRUE,FALSE)</f>
        <v>0</v>
      </c>
    </row>
    <row r="289" spans="1:10" x14ac:dyDescent="0.15">
      <c r="A289"/>
      <c r="G289" s="4" t="s">
        <v>297</v>
      </c>
      <c r="I289" s="4" t="str">
        <f t="shared" si="4"/>
        <v>HG03486_pat_hprc_r2_v1.0.1</v>
      </c>
      <c r="J289" t="b">
        <f>IF(COUNTIF('Sheet 1 - assemblies'!B:B,Sheet2!I289)=1,TRUE,FALSE)</f>
        <v>0</v>
      </c>
    </row>
    <row r="290" spans="1:10" x14ac:dyDescent="0.15">
      <c r="A290"/>
      <c r="G290" s="4" t="s">
        <v>298</v>
      </c>
      <c r="I290" s="4" t="str">
        <f t="shared" si="4"/>
        <v>HG03516_mat_hprc_r2_v1.1.0</v>
      </c>
      <c r="J290" t="b">
        <f>IF(COUNTIF('Sheet 1 - assemblies'!B:B,Sheet2!I290)=1,TRUE,FALSE)</f>
        <v>0</v>
      </c>
    </row>
    <row r="291" spans="1:10" x14ac:dyDescent="0.15">
      <c r="A291"/>
      <c r="G291" s="4" t="s">
        <v>299</v>
      </c>
      <c r="I291" s="4" t="str">
        <f t="shared" si="4"/>
        <v>HG03516_pat_hprc_r2_v1.1.0</v>
      </c>
      <c r="J291" t="b">
        <f>IF(COUNTIF('Sheet 1 - assemblies'!B:B,Sheet2!I291)=1,TRUE,FALSE)</f>
        <v>0</v>
      </c>
    </row>
    <row r="292" spans="1:10" x14ac:dyDescent="0.15">
      <c r="A292"/>
      <c r="G292" s="4" t="s">
        <v>300</v>
      </c>
      <c r="I292" s="4" t="str">
        <f t="shared" si="4"/>
        <v>HG03521_hap1_hprc_r2_v1.0.1</v>
      </c>
      <c r="J292" t="b">
        <f>IF(COUNTIF('Sheet 1 - assemblies'!B:B,Sheet2!I292)=1,TRUE,FALSE)</f>
        <v>0</v>
      </c>
    </row>
    <row r="293" spans="1:10" x14ac:dyDescent="0.15">
      <c r="A293"/>
      <c r="G293" s="4" t="s">
        <v>301</v>
      </c>
      <c r="I293" s="4" t="str">
        <f t="shared" si="4"/>
        <v>HG03521_hap2_hprc_r2_v1.0.1</v>
      </c>
      <c r="J293" t="b">
        <f>IF(COUNTIF('Sheet 1 - assemblies'!B:B,Sheet2!I293)=1,TRUE,FALSE)</f>
        <v>0</v>
      </c>
    </row>
    <row r="294" spans="1:10" x14ac:dyDescent="0.15">
      <c r="A294"/>
      <c r="G294" s="4" t="s">
        <v>302</v>
      </c>
      <c r="I294" s="4" t="str">
        <f t="shared" si="4"/>
        <v>HG03540_mat_hprc_r2_v1.0.1</v>
      </c>
      <c r="J294" t="b">
        <f>IF(COUNTIF('Sheet 1 - assemblies'!B:B,Sheet2!I294)=1,TRUE,FALSE)</f>
        <v>0</v>
      </c>
    </row>
    <row r="295" spans="1:10" x14ac:dyDescent="0.15">
      <c r="A295"/>
      <c r="G295" s="4" t="s">
        <v>303</v>
      </c>
      <c r="I295" s="4" t="str">
        <f t="shared" si="4"/>
        <v>HG03540_pat_hprc_r2_v1.0.1</v>
      </c>
      <c r="J295" t="b">
        <f>IF(COUNTIF('Sheet 1 - assemblies'!B:B,Sheet2!I295)=1,TRUE,FALSE)</f>
        <v>0</v>
      </c>
    </row>
    <row r="296" spans="1:10" x14ac:dyDescent="0.15">
      <c r="A296"/>
      <c r="G296" s="4" t="s">
        <v>304</v>
      </c>
      <c r="I296" s="4" t="str">
        <f t="shared" si="4"/>
        <v>HG03579_mat_hprc_r2_v1.0.1</v>
      </c>
      <c r="J296" t="b">
        <f>IF(COUNTIF('Sheet 1 - assemblies'!B:B,Sheet2!I296)=1,TRUE,FALSE)</f>
        <v>0</v>
      </c>
    </row>
    <row r="297" spans="1:10" x14ac:dyDescent="0.15">
      <c r="A297"/>
      <c r="G297" s="4" t="s">
        <v>305</v>
      </c>
      <c r="I297" s="4" t="str">
        <f t="shared" si="4"/>
        <v>HG03579_pat_hprc_r2_v1.0.1</v>
      </c>
      <c r="J297" t="b">
        <f>IF(COUNTIF('Sheet 1 - assemblies'!B:B,Sheet2!I297)=1,TRUE,FALSE)</f>
        <v>0</v>
      </c>
    </row>
    <row r="298" spans="1:10" x14ac:dyDescent="0.15">
      <c r="A298"/>
      <c r="G298" s="4" t="s">
        <v>306</v>
      </c>
      <c r="I298" s="4" t="str">
        <f t="shared" si="4"/>
        <v>HG03583_hap1_hprc_r2_v1.0.1</v>
      </c>
      <c r="J298" t="b">
        <f>IF(COUNTIF('Sheet 1 - assemblies'!B:B,Sheet2!I298)=1,TRUE,FALSE)</f>
        <v>0</v>
      </c>
    </row>
    <row r="299" spans="1:10" x14ac:dyDescent="0.15">
      <c r="A299"/>
      <c r="G299" s="4" t="s">
        <v>307</v>
      </c>
      <c r="I299" s="4" t="str">
        <f t="shared" si="4"/>
        <v>HG03583_hap2_hprc_r2_v1.0.1</v>
      </c>
      <c r="J299" t="b">
        <f>IF(COUNTIF('Sheet 1 - assemblies'!B:B,Sheet2!I299)=1,TRUE,FALSE)</f>
        <v>0</v>
      </c>
    </row>
    <row r="300" spans="1:10" x14ac:dyDescent="0.15">
      <c r="A300"/>
      <c r="G300" s="4" t="s">
        <v>308</v>
      </c>
      <c r="I300" s="4" t="str">
        <f t="shared" si="4"/>
        <v>HG03654_mat_hprc_r2_v1.0.1</v>
      </c>
      <c r="J300" t="b">
        <f>IF(COUNTIF('Sheet 1 - assemblies'!B:B,Sheet2!I300)=1,TRUE,FALSE)</f>
        <v>0</v>
      </c>
    </row>
    <row r="301" spans="1:10" x14ac:dyDescent="0.15">
      <c r="A301"/>
      <c r="G301" s="4" t="s">
        <v>309</v>
      </c>
      <c r="I301" s="4" t="str">
        <f t="shared" si="4"/>
        <v>HG03654_pat_hprc_r2_v1.0.1</v>
      </c>
      <c r="J301" t="b">
        <f>IF(COUNTIF('Sheet 1 - assemblies'!B:B,Sheet2!I301)=1,TRUE,FALSE)</f>
        <v>0</v>
      </c>
    </row>
    <row r="302" spans="1:10" x14ac:dyDescent="0.15">
      <c r="A302"/>
      <c r="G302" s="4" t="s">
        <v>310</v>
      </c>
      <c r="I302" s="4" t="str">
        <f t="shared" si="4"/>
        <v>HG03669_mat_hprc_r2_v1.0.1</v>
      </c>
      <c r="J302" t="b">
        <f>IF(COUNTIF('Sheet 1 - assemblies'!B:B,Sheet2!I302)=1,TRUE,FALSE)</f>
        <v>0</v>
      </c>
    </row>
    <row r="303" spans="1:10" x14ac:dyDescent="0.15">
      <c r="A303"/>
      <c r="G303" s="4" t="s">
        <v>311</v>
      </c>
      <c r="I303" s="4" t="str">
        <f t="shared" si="4"/>
        <v>HG03669_pat_hprc_r2_v1.0.1</v>
      </c>
      <c r="J303" t="b">
        <f>IF(COUNTIF('Sheet 1 - assemblies'!B:B,Sheet2!I303)=1,TRUE,FALSE)</f>
        <v>0</v>
      </c>
    </row>
    <row r="304" spans="1:10" x14ac:dyDescent="0.15">
      <c r="A304"/>
      <c r="G304" s="4" t="s">
        <v>312</v>
      </c>
      <c r="I304" s="4" t="str">
        <f t="shared" si="4"/>
        <v>HG03688_mat_hprc_r2_v1.0.1</v>
      </c>
      <c r="J304" t="b">
        <f>IF(COUNTIF('Sheet 1 - assemblies'!B:B,Sheet2!I304)=1,TRUE,FALSE)</f>
        <v>0</v>
      </c>
    </row>
    <row r="305" spans="1:10" x14ac:dyDescent="0.15">
      <c r="A305"/>
      <c r="G305" s="4" t="s">
        <v>313</v>
      </c>
      <c r="I305" s="4" t="str">
        <f t="shared" si="4"/>
        <v>HG03688_pat_hprc_r2_v1.0.1</v>
      </c>
      <c r="J305" t="b">
        <f>IF(COUNTIF('Sheet 1 - assemblies'!B:B,Sheet2!I305)=1,TRUE,FALSE)</f>
        <v>0</v>
      </c>
    </row>
    <row r="306" spans="1:10" x14ac:dyDescent="0.15">
      <c r="A306"/>
      <c r="G306" s="4" t="s">
        <v>314</v>
      </c>
      <c r="I306" s="4" t="str">
        <f t="shared" si="4"/>
        <v>HG03704_mat_hprc_r2_v1.0.1</v>
      </c>
      <c r="J306" t="b">
        <f>IF(COUNTIF('Sheet 1 - assemblies'!B:B,Sheet2!I306)=1,TRUE,FALSE)</f>
        <v>0</v>
      </c>
    </row>
    <row r="307" spans="1:10" x14ac:dyDescent="0.15">
      <c r="A307"/>
      <c r="G307" s="4" t="s">
        <v>315</v>
      </c>
      <c r="I307" s="4" t="str">
        <f t="shared" si="4"/>
        <v>HG03704_pat_hprc_r2_v1.0.1</v>
      </c>
      <c r="J307" t="b">
        <f>IF(COUNTIF('Sheet 1 - assemblies'!B:B,Sheet2!I307)=1,TRUE,FALSE)</f>
        <v>0</v>
      </c>
    </row>
    <row r="308" spans="1:10" x14ac:dyDescent="0.15">
      <c r="A308"/>
      <c r="G308" s="4" t="s">
        <v>316</v>
      </c>
      <c r="I308" s="4" t="str">
        <f t="shared" si="4"/>
        <v>HG03710_mat_hprc_r2_v1.0.1</v>
      </c>
      <c r="J308" t="b">
        <f>IF(COUNTIF('Sheet 1 - assemblies'!B:B,Sheet2!I308)=1,TRUE,FALSE)</f>
        <v>0</v>
      </c>
    </row>
    <row r="309" spans="1:10" x14ac:dyDescent="0.15">
      <c r="A309"/>
      <c r="G309" s="4" t="s">
        <v>317</v>
      </c>
      <c r="I309" s="4" t="str">
        <f t="shared" si="4"/>
        <v>HG03710_pat_hprc_r2_v1.0.1</v>
      </c>
      <c r="J309" t="b">
        <f>IF(COUNTIF('Sheet 1 - assemblies'!B:B,Sheet2!I309)=1,TRUE,FALSE)</f>
        <v>0</v>
      </c>
    </row>
    <row r="310" spans="1:10" x14ac:dyDescent="0.15">
      <c r="A310"/>
      <c r="G310" s="4" t="s">
        <v>318</v>
      </c>
      <c r="I310" s="4" t="str">
        <f t="shared" si="4"/>
        <v>HG03742_hap1_hprc_r2_v1.0.1</v>
      </c>
      <c r="J310" t="b">
        <f>IF(COUNTIF('Sheet 1 - assemblies'!B:B,Sheet2!I310)=1,TRUE,FALSE)</f>
        <v>0</v>
      </c>
    </row>
    <row r="311" spans="1:10" x14ac:dyDescent="0.15">
      <c r="A311"/>
      <c r="G311" s="4" t="s">
        <v>319</v>
      </c>
      <c r="I311" s="4" t="str">
        <f t="shared" si="4"/>
        <v>HG03742_hap2_hprc_r2_v1.0.1</v>
      </c>
      <c r="J311" t="b">
        <f>IF(COUNTIF('Sheet 1 - assemblies'!B:B,Sheet2!I311)=1,TRUE,FALSE)</f>
        <v>0</v>
      </c>
    </row>
    <row r="312" spans="1:10" x14ac:dyDescent="0.15">
      <c r="A312"/>
      <c r="G312" s="4" t="s">
        <v>320</v>
      </c>
      <c r="I312" s="4" t="str">
        <f t="shared" si="4"/>
        <v>HG03784_hap1_hprc_r2_v1.0.1</v>
      </c>
      <c r="J312" t="b">
        <f>IF(COUNTIF('Sheet 1 - assemblies'!B:B,Sheet2!I312)=1,TRUE,FALSE)</f>
        <v>0</v>
      </c>
    </row>
    <row r="313" spans="1:10" x14ac:dyDescent="0.15">
      <c r="A313"/>
      <c r="G313" s="4" t="s">
        <v>321</v>
      </c>
      <c r="I313" s="4" t="str">
        <f t="shared" si="4"/>
        <v>HG03784_hap2_hprc_r2_v1.0.1</v>
      </c>
      <c r="J313" t="b">
        <f>IF(COUNTIF('Sheet 1 - assemblies'!B:B,Sheet2!I313)=1,TRUE,FALSE)</f>
        <v>0</v>
      </c>
    </row>
    <row r="314" spans="1:10" x14ac:dyDescent="0.15">
      <c r="A314"/>
      <c r="G314" s="4" t="s">
        <v>322</v>
      </c>
      <c r="I314" s="4" t="str">
        <f t="shared" si="4"/>
        <v>HG03804_mat_hprc_r2_v1.0.1</v>
      </c>
      <c r="J314" t="b">
        <f>IF(COUNTIF('Sheet 1 - assemblies'!B:B,Sheet2!I314)=1,TRUE,FALSE)</f>
        <v>0</v>
      </c>
    </row>
    <row r="315" spans="1:10" x14ac:dyDescent="0.15">
      <c r="A315"/>
      <c r="G315" s="4" t="s">
        <v>323</v>
      </c>
      <c r="I315" s="4" t="str">
        <f t="shared" si="4"/>
        <v>HG03804_pat_hprc_r2_v1.0.1</v>
      </c>
      <c r="J315" t="b">
        <f>IF(COUNTIF('Sheet 1 - assemblies'!B:B,Sheet2!I315)=1,TRUE,FALSE)</f>
        <v>0</v>
      </c>
    </row>
    <row r="316" spans="1:10" x14ac:dyDescent="0.15">
      <c r="A316"/>
      <c r="G316" s="4" t="s">
        <v>324</v>
      </c>
      <c r="I316" s="4" t="str">
        <f t="shared" si="4"/>
        <v>HG03816_mat_hprc_r2_v1.0.1</v>
      </c>
      <c r="J316" t="b">
        <f>IF(COUNTIF('Sheet 1 - assemblies'!B:B,Sheet2!I316)=1,TRUE,FALSE)</f>
        <v>0</v>
      </c>
    </row>
    <row r="317" spans="1:10" x14ac:dyDescent="0.15">
      <c r="A317"/>
      <c r="G317" s="4" t="s">
        <v>325</v>
      </c>
      <c r="I317" s="4" t="str">
        <f t="shared" si="4"/>
        <v>HG03816_pat_hprc_r2_v1.0.1</v>
      </c>
      <c r="J317" t="b">
        <f>IF(COUNTIF('Sheet 1 - assemblies'!B:B,Sheet2!I317)=1,TRUE,FALSE)</f>
        <v>0</v>
      </c>
    </row>
    <row r="318" spans="1:10" x14ac:dyDescent="0.15">
      <c r="A318"/>
      <c r="G318" s="4" t="s">
        <v>326</v>
      </c>
      <c r="I318" s="4" t="str">
        <f t="shared" si="4"/>
        <v>HG03831_mat_hprc_r2_v1.0.1</v>
      </c>
      <c r="J318" t="b">
        <f>IF(COUNTIF('Sheet 1 - assemblies'!B:B,Sheet2!I318)=1,TRUE,FALSE)</f>
        <v>0</v>
      </c>
    </row>
    <row r="319" spans="1:10" x14ac:dyDescent="0.15">
      <c r="A319"/>
      <c r="G319" s="4" t="s">
        <v>327</v>
      </c>
      <c r="I319" s="4" t="str">
        <f t="shared" si="4"/>
        <v>HG03831_pat_hprc_r2_v1.0.1</v>
      </c>
      <c r="J319" t="b">
        <f>IF(COUNTIF('Sheet 1 - assemblies'!B:B,Sheet2!I319)=1,TRUE,FALSE)</f>
        <v>0</v>
      </c>
    </row>
    <row r="320" spans="1:10" x14ac:dyDescent="0.15">
      <c r="A320"/>
      <c r="G320" s="4" t="s">
        <v>328</v>
      </c>
      <c r="I320" s="4" t="str">
        <f t="shared" si="4"/>
        <v>HG03834_mat_hprc_r2_v1.0.1</v>
      </c>
      <c r="J320" t="b">
        <f>IF(COUNTIF('Sheet 1 - assemblies'!B:B,Sheet2!I320)=1,TRUE,FALSE)</f>
        <v>0</v>
      </c>
    </row>
    <row r="321" spans="1:10" x14ac:dyDescent="0.15">
      <c r="A321"/>
      <c r="G321" s="4" t="s">
        <v>329</v>
      </c>
      <c r="I321" s="4" t="str">
        <f t="shared" si="4"/>
        <v>HG03834_pat_hprc_r2_v1.0.1</v>
      </c>
      <c r="J321" t="b">
        <f>IF(COUNTIF('Sheet 1 - assemblies'!B:B,Sheet2!I321)=1,TRUE,FALSE)</f>
        <v>0</v>
      </c>
    </row>
    <row r="322" spans="1:10" x14ac:dyDescent="0.15">
      <c r="A322"/>
      <c r="G322" s="4" t="s">
        <v>330</v>
      </c>
      <c r="I322" s="4" t="str">
        <f t="shared" ref="I322:I385" si="5">LEFT(G322,LEN(G322)-1)</f>
        <v>HG03874_hap1_hprc_r2_v1.0.1</v>
      </c>
      <c r="J322" t="b">
        <f>IF(COUNTIF('Sheet 1 - assemblies'!B:B,Sheet2!I322)=1,TRUE,FALSE)</f>
        <v>0</v>
      </c>
    </row>
    <row r="323" spans="1:10" x14ac:dyDescent="0.15">
      <c r="A323"/>
      <c r="G323" s="4" t="s">
        <v>331</v>
      </c>
      <c r="I323" s="4" t="str">
        <f t="shared" si="5"/>
        <v>HG03874_hap2_hprc_r2_v1.0.1</v>
      </c>
      <c r="J323" t="b">
        <f>IF(COUNTIF('Sheet 1 - assemblies'!B:B,Sheet2!I323)=1,TRUE,FALSE)</f>
        <v>0</v>
      </c>
    </row>
    <row r="324" spans="1:10" x14ac:dyDescent="0.15">
      <c r="A324"/>
      <c r="G324" s="4" t="s">
        <v>332</v>
      </c>
      <c r="I324" s="4" t="str">
        <f t="shared" si="5"/>
        <v>HG03927_mat_hprc_r2_v1.0.1</v>
      </c>
      <c r="J324" t="b">
        <f>IF(COUNTIF('Sheet 1 - assemblies'!B:B,Sheet2!I324)=1,TRUE,FALSE)</f>
        <v>0</v>
      </c>
    </row>
    <row r="325" spans="1:10" x14ac:dyDescent="0.15">
      <c r="A325"/>
      <c r="G325" s="4" t="s">
        <v>333</v>
      </c>
      <c r="I325" s="4" t="str">
        <f t="shared" si="5"/>
        <v>HG03927_pat_hprc_r2_v1.0.1</v>
      </c>
      <c r="J325" t="b">
        <f>IF(COUNTIF('Sheet 1 - assemblies'!B:B,Sheet2!I325)=1,TRUE,FALSE)</f>
        <v>0</v>
      </c>
    </row>
    <row r="326" spans="1:10" x14ac:dyDescent="0.15">
      <c r="A326"/>
      <c r="G326" s="4" t="s">
        <v>334</v>
      </c>
      <c r="I326" s="4" t="str">
        <f t="shared" si="5"/>
        <v>HG03942_mat_hprc_r2_v1.0.1</v>
      </c>
      <c r="J326" t="b">
        <f>IF(COUNTIF('Sheet 1 - assemblies'!B:B,Sheet2!I326)=1,TRUE,FALSE)</f>
        <v>0</v>
      </c>
    </row>
    <row r="327" spans="1:10" x14ac:dyDescent="0.15">
      <c r="A327"/>
      <c r="G327" s="4" t="s">
        <v>335</v>
      </c>
      <c r="I327" s="4" t="str">
        <f t="shared" si="5"/>
        <v>HG03942_pat_hprc_r2_v1.0.1</v>
      </c>
      <c r="J327" t="b">
        <f>IF(COUNTIF('Sheet 1 - assemblies'!B:B,Sheet2!I327)=1,TRUE,FALSE)</f>
        <v>0</v>
      </c>
    </row>
    <row r="328" spans="1:10" x14ac:dyDescent="0.15">
      <c r="A328"/>
      <c r="G328" s="4" t="s">
        <v>336</v>
      </c>
      <c r="I328" s="4" t="str">
        <f t="shared" si="5"/>
        <v>HG04115_mat_hprc_r2_v1.0.1</v>
      </c>
      <c r="J328" t="b">
        <f>IF(COUNTIF('Sheet 1 - assemblies'!B:B,Sheet2!I328)=1,TRUE,FALSE)</f>
        <v>0</v>
      </c>
    </row>
    <row r="329" spans="1:10" x14ac:dyDescent="0.15">
      <c r="A329"/>
      <c r="G329" s="4" t="s">
        <v>337</v>
      </c>
      <c r="I329" s="4" t="str">
        <f t="shared" si="5"/>
        <v>HG04115_pat_hprc_r2_v1.0.1</v>
      </c>
      <c r="J329" t="b">
        <f>IF(COUNTIF('Sheet 1 - assemblies'!B:B,Sheet2!I329)=1,TRUE,FALSE)</f>
        <v>0</v>
      </c>
    </row>
    <row r="330" spans="1:10" x14ac:dyDescent="0.15">
      <c r="A330"/>
      <c r="G330" s="4" t="s">
        <v>338</v>
      </c>
      <c r="I330" s="4" t="str">
        <f t="shared" si="5"/>
        <v>HG04157_mat_hprc_r2_v1.0.1</v>
      </c>
      <c r="J330" t="b">
        <f>IF(COUNTIF('Sheet 1 - assemblies'!B:B,Sheet2!I330)=1,TRUE,FALSE)</f>
        <v>0</v>
      </c>
    </row>
    <row r="331" spans="1:10" x14ac:dyDescent="0.15">
      <c r="A331"/>
      <c r="G331" s="4" t="s">
        <v>339</v>
      </c>
      <c r="I331" s="4" t="str">
        <f t="shared" si="5"/>
        <v>HG04157_pat_hprc_r2_v1.0.1</v>
      </c>
      <c r="J331" t="b">
        <f>IF(COUNTIF('Sheet 1 - assemblies'!B:B,Sheet2!I331)=1,TRUE,FALSE)</f>
        <v>0</v>
      </c>
    </row>
    <row r="332" spans="1:10" x14ac:dyDescent="0.15">
      <c r="A332"/>
      <c r="G332" s="4" t="s">
        <v>340</v>
      </c>
      <c r="I332" s="4" t="str">
        <f t="shared" si="5"/>
        <v>HG04160_mat_hprc_r2_v1.0.1</v>
      </c>
      <c r="J332" t="b">
        <f>IF(COUNTIF('Sheet 1 - assemblies'!B:B,Sheet2!I332)=1,TRUE,FALSE)</f>
        <v>0</v>
      </c>
    </row>
    <row r="333" spans="1:10" x14ac:dyDescent="0.15">
      <c r="A333"/>
      <c r="G333" s="4" t="s">
        <v>341</v>
      </c>
      <c r="I333" s="4" t="str">
        <f t="shared" si="5"/>
        <v>HG04160_pat_hprc_r2_v1.0.1</v>
      </c>
      <c r="J333" t="b">
        <f>IF(COUNTIF('Sheet 1 - assemblies'!B:B,Sheet2!I333)=1,TRUE,FALSE)</f>
        <v>0</v>
      </c>
    </row>
    <row r="334" spans="1:10" x14ac:dyDescent="0.15">
      <c r="A334"/>
      <c r="G334" s="4" t="s">
        <v>342</v>
      </c>
      <c r="I334" s="4" t="str">
        <f t="shared" si="5"/>
        <v>HG04184_mat_hprc_r2_v1.0.1</v>
      </c>
      <c r="J334" t="b">
        <f>IF(COUNTIF('Sheet 1 - assemblies'!B:B,Sheet2!I334)=1,TRUE,FALSE)</f>
        <v>0</v>
      </c>
    </row>
    <row r="335" spans="1:10" x14ac:dyDescent="0.15">
      <c r="A335"/>
      <c r="G335" s="4" t="s">
        <v>343</v>
      </c>
      <c r="I335" s="4" t="str">
        <f t="shared" si="5"/>
        <v>HG04184_pat_hprc_r2_v1.0.1</v>
      </c>
      <c r="J335" t="b">
        <f>IF(COUNTIF('Sheet 1 - assemblies'!B:B,Sheet2!I335)=1,TRUE,FALSE)</f>
        <v>0</v>
      </c>
    </row>
    <row r="336" spans="1:10" x14ac:dyDescent="0.15">
      <c r="A336"/>
      <c r="G336" s="4" t="s">
        <v>344</v>
      </c>
      <c r="I336" s="4" t="str">
        <f t="shared" si="5"/>
        <v>HG04187_mat_hprc_r2_v1.0.1</v>
      </c>
      <c r="J336" t="b">
        <f>IF(COUNTIF('Sheet 1 - assemblies'!B:B,Sheet2!I336)=1,TRUE,FALSE)</f>
        <v>0</v>
      </c>
    </row>
    <row r="337" spans="1:10" x14ac:dyDescent="0.15">
      <c r="A337"/>
      <c r="G337" s="4" t="s">
        <v>345</v>
      </c>
      <c r="I337" s="4" t="str">
        <f t="shared" si="5"/>
        <v>HG04187_pat_hprc_r2_v1.0.1</v>
      </c>
      <c r="J337" t="b">
        <f>IF(COUNTIF('Sheet 1 - assemblies'!B:B,Sheet2!I337)=1,TRUE,FALSE)</f>
        <v>0</v>
      </c>
    </row>
    <row r="338" spans="1:10" x14ac:dyDescent="0.15">
      <c r="A338"/>
      <c r="G338" s="4" t="s">
        <v>346</v>
      </c>
      <c r="I338" s="4" t="str">
        <f t="shared" si="5"/>
        <v>HG04199_mat_hprc_r2_v1.0.1</v>
      </c>
      <c r="J338" t="b">
        <f>IF(COUNTIF('Sheet 1 - assemblies'!B:B,Sheet2!I338)=1,TRUE,FALSE)</f>
        <v>0</v>
      </c>
    </row>
    <row r="339" spans="1:10" x14ac:dyDescent="0.15">
      <c r="A339"/>
      <c r="G339" s="4" t="s">
        <v>347</v>
      </c>
      <c r="I339" s="4" t="str">
        <f t="shared" si="5"/>
        <v>HG04199_pat_hprc_r2_v1.0.1</v>
      </c>
      <c r="J339" t="b">
        <f>IF(COUNTIF('Sheet 1 - assemblies'!B:B,Sheet2!I339)=1,TRUE,FALSE)</f>
        <v>0</v>
      </c>
    </row>
    <row r="340" spans="1:10" x14ac:dyDescent="0.15">
      <c r="A340"/>
      <c r="G340" s="4" t="s">
        <v>348</v>
      </c>
      <c r="I340" s="4" t="str">
        <f t="shared" si="5"/>
        <v>HG04204_mat_hprc_r2_v1.0.1</v>
      </c>
      <c r="J340" t="b">
        <f>IF(COUNTIF('Sheet 1 - assemblies'!B:B,Sheet2!I340)=1,TRUE,FALSE)</f>
        <v>0</v>
      </c>
    </row>
    <row r="341" spans="1:10" x14ac:dyDescent="0.15">
      <c r="A341"/>
      <c r="G341" s="4" t="s">
        <v>349</v>
      </c>
      <c r="I341" s="4" t="str">
        <f t="shared" si="5"/>
        <v>HG04204_pat_hprc_r2_v1.0.1</v>
      </c>
      <c r="J341" t="b">
        <f>IF(COUNTIF('Sheet 1 - assemblies'!B:B,Sheet2!I341)=1,TRUE,FALSE)</f>
        <v>0</v>
      </c>
    </row>
    <row r="342" spans="1:10" x14ac:dyDescent="0.15">
      <c r="A342"/>
      <c r="G342" s="4" t="s">
        <v>350</v>
      </c>
      <c r="I342" s="4" t="str">
        <f t="shared" si="5"/>
        <v>HG04228_mat_hprc_r2_v1.0.1</v>
      </c>
      <c r="J342" t="b">
        <f>IF(COUNTIF('Sheet 1 - assemblies'!B:B,Sheet2!I342)=1,TRUE,FALSE)</f>
        <v>0</v>
      </c>
    </row>
    <row r="343" spans="1:10" x14ac:dyDescent="0.15">
      <c r="A343"/>
      <c r="G343" s="4" t="s">
        <v>351</v>
      </c>
      <c r="I343" s="4" t="str">
        <f t="shared" si="5"/>
        <v>HG04228_pat_hprc_r2_v1.0.1</v>
      </c>
      <c r="J343" t="b">
        <f>IF(COUNTIF('Sheet 1 - assemblies'!B:B,Sheet2!I343)=1,TRUE,FALSE)</f>
        <v>0</v>
      </c>
    </row>
    <row r="344" spans="1:10" x14ac:dyDescent="0.15">
      <c r="A344"/>
      <c r="G344" s="4" t="s">
        <v>352</v>
      </c>
      <c r="I344" s="4" t="str">
        <f t="shared" si="5"/>
        <v>HG06807_mat_v1.0.genbank</v>
      </c>
      <c r="J344" t="b">
        <f>IF(COUNTIF('Sheet 1 - assemblies'!B:B,Sheet2!I344)=1,TRUE,FALSE)</f>
        <v>0</v>
      </c>
    </row>
    <row r="345" spans="1:10" x14ac:dyDescent="0.15">
      <c r="A345"/>
      <c r="G345" s="4" t="s">
        <v>353</v>
      </c>
      <c r="I345" s="4" t="str">
        <f t="shared" si="5"/>
        <v>HG06807_pat_v1.0.genbank</v>
      </c>
      <c r="J345" t="b">
        <f>IF(COUNTIF('Sheet 1 - assemblies'!B:B,Sheet2!I345)=1,TRUE,FALSE)</f>
        <v>0</v>
      </c>
    </row>
    <row r="346" spans="1:10" x14ac:dyDescent="0.15">
      <c r="A346"/>
      <c r="G346" s="4" t="s">
        <v>354</v>
      </c>
      <c r="I346" s="4" t="str">
        <f t="shared" si="5"/>
        <v>NA18505_hap1_hprc_r2_v1.0.1</v>
      </c>
      <c r="J346" t="b">
        <f>IF(COUNTIF('Sheet 1 - assemblies'!B:B,Sheet2!I346)=1,TRUE,FALSE)</f>
        <v>0</v>
      </c>
    </row>
    <row r="347" spans="1:10" x14ac:dyDescent="0.15">
      <c r="A347"/>
      <c r="G347" s="4" t="s">
        <v>355</v>
      </c>
      <c r="I347" s="4" t="str">
        <f t="shared" si="5"/>
        <v>NA18505_hap2_hprc_r2_v1.0.1</v>
      </c>
      <c r="J347" t="b">
        <f>IF(COUNTIF('Sheet 1 - assemblies'!B:B,Sheet2!I347)=1,TRUE,FALSE)</f>
        <v>0</v>
      </c>
    </row>
    <row r="348" spans="1:10" x14ac:dyDescent="0.15">
      <c r="A348"/>
      <c r="G348" s="4" t="s">
        <v>356</v>
      </c>
      <c r="I348" s="4" t="str">
        <f t="shared" si="5"/>
        <v>NA18508_hap1_hprc_r2_v1.0.1</v>
      </c>
      <c r="J348" t="b">
        <f>IF(COUNTIF('Sheet 1 - assemblies'!B:B,Sheet2!I348)=1,TRUE,FALSE)</f>
        <v>0</v>
      </c>
    </row>
    <row r="349" spans="1:10" x14ac:dyDescent="0.15">
      <c r="A349"/>
      <c r="G349" s="4" t="s">
        <v>357</v>
      </c>
      <c r="I349" s="4" t="str">
        <f t="shared" si="5"/>
        <v>NA18508_hap2_hprc_r2_v1.0.1</v>
      </c>
      <c r="J349" t="b">
        <f>IF(COUNTIF('Sheet 1 - assemblies'!B:B,Sheet2!I349)=1,TRUE,FALSE)</f>
        <v>0</v>
      </c>
    </row>
    <row r="350" spans="1:10" x14ac:dyDescent="0.15">
      <c r="A350"/>
      <c r="G350" s="4" t="s">
        <v>358</v>
      </c>
      <c r="I350" s="4" t="str">
        <f t="shared" si="5"/>
        <v>NA18522_hap1_hprc_r2_v1.0.1</v>
      </c>
      <c r="J350" t="b">
        <f>IF(COUNTIF('Sheet 1 - assemblies'!B:B,Sheet2!I350)=1,TRUE,FALSE)</f>
        <v>0</v>
      </c>
    </row>
    <row r="351" spans="1:10" x14ac:dyDescent="0.15">
      <c r="A351"/>
      <c r="G351" s="4" t="s">
        <v>359</v>
      </c>
      <c r="I351" s="4" t="str">
        <f t="shared" si="5"/>
        <v>NA18522_hap2_hprc_r2_v1.0.1</v>
      </c>
      <c r="J351" t="b">
        <f>IF(COUNTIF('Sheet 1 - assemblies'!B:B,Sheet2!I351)=1,TRUE,FALSE)</f>
        <v>0</v>
      </c>
    </row>
    <row r="352" spans="1:10" x14ac:dyDescent="0.15">
      <c r="A352"/>
      <c r="G352" s="4" t="s">
        <v>360</v>
      </c>
      <c r="I352" s="4" t="str">
        <f t="shared" si="5"/>
        <v>NA18565_hap1_hprc_r2_v1.0.1</v>
      </c>
      <c r="J352" t="b">
        <f>IF(COUNTIF('Sheet 1 - assemblies'!B:B,Sheet2!I352)=1,TRUE,FALSE)</f>
        <v>0</v>
      </c>
    </row>
    <row r="353" spans="1:10" x14ac:dyDescent="0.15">
      <c r="A353"/>
      <c r="G353" s="4" t="s">
        <v>361</v>
      </c>
      <c r="I353" s="4" t="str">
        <f t="shared" si="5"/>
        <v>NA18565_hap2_hprc_r2_v1.0.1</v>
      </c>
      <c r="J353" t="b">
        <f>IF(COUNTIF('Sheet 1 - assemblies'!B:B,Sheet2!I353)=1,TRUE,FALSE)</f>
        <v>0</v>
      </c>
    </row>
    <row r="354" spans="1:10" x14ac:dyDescent="0.15">
      <c r="A354"/>
      <c r="G354" s="4" t="s">
        <v>362</v>
      </c>
      <c r="I354" s="4" t="str">
        <f t="shared" si="5"/>
        <v>NA18570_hap1_hprc_r2_v1.0.1</v>
      </c>
      <c r="J354" t="b">
        <f>IF(COUNTIF('Sheet 1 - assemblies'!B:B,Sheet2!I354)=1,TRUE,FALSE)</f>
        <v>0</v>
      </c>
    </row>
    <row r="355" spans="1:10" x14ac:dyDescent="0.15">
      <c r="A355"/>
      <c r="G355" s="4" t="s">
        <v>363</v>
      </c>
      <c r="I355" s="4" t="str">
        <f t="shared" si="5"/>
        <v>NA18570_hap2_hprc_r2_v1.0.1</v>
      </c>
      <c r="J355" t="b">
        <f>IF(COUNTIF('Sheet 1 - assemblies'!B:B,Sheet2!I355)=1,TRUE,FALSE)</f>
        <v>0</v>
      </c>
    </row>
    <row r="356" spans="1:10" x14ac:dyDescent="0.15">
      <c r="A356"/>
      <c r="G356" s="4" t="s">
        <v>364</v>
      </c>
      <c r="I356" s="4" t="str">
        <f t="shared" si="5"/>
        <v>NA18608_hap1_hprc_r2_v1.0.1</v>
      </c>
      <c r="J356" t="b">
        <f>IF(COUNTIF('Sheet 1 - assemblies'!B:B,Sheet2!I356)=1,TRUE,FALSE)</f>
        <v>0</v>
      </c>
    </row>
    <row r="357" spans="1:10" x14ac:dyDescent="0.15">
      <c r="A357"/>
      <c r="G357" s="4" t="s">
        <v>365</v>
      </c>
      <c r="I357" s="4" t="str">
        <f t="shared" si="5"/>
        <v>NA18608_hap2_hprc_r2_v1.0.1</v>
      </c>
      <c r="J357" t="b">
        <f>IF(COUNTIF('Sheet 1 - assemblies'!B:B,Sheet2!I357)=1,TRUE,FALSE)</f>
        <v>0</v>
      </c>
    </row>
    <row r="358" spans="1:10" x14ac:dyDescent="0.15">
      <c r="A358"/>
      <c r="G358" s="4" t="s">
        <v>366</v>
      </c>
      <c r="I358" s="4" t="str">
        <f t="shared" si="5"/>
        <v>NA18620_hap1_hprc_r2_v1.0.1</v>
      </c>
      <c r="J358" t="b">
        <f>IF(COUNTIF('Sheet 1 - assemblies'!B:B,Sheet2!I358)=1,TRUE,FALSE)</f>
        <v>0</v>
      </c>
    </row>
    <row r="359" spans="1:10" x14ac:dyDescent="0.15">
      <c r="A359"/>
      <c r="G359" s="4" t="s">
        <v>367</v>
      </c>
      <c r="I359" s="4" t="str">
        <f t="shared" si="5"/>
        <v>NA18620_hap2_hprc_r2_v1.0.1</v>
      </c>
      <c r="J359" t="b">
        <f>IF(COUNTIF('Sheet 1 - assemblies'!B:B,Sheet2!I359)=1,TRUE,FALSE)</f>
        <v>0</v>
      </c>
    </row>
    <row r="360" spans="1:10" x14ac:dyDescent="0.15">
      <c r="A360"/>
      <c r="G360" s="4" t="s">
        <v>368</v>
      </c>
      <c r="I360" s="4" t="str">
        <f t="shared" si="5"/>
        <v>NA18747_hap1_hprc_r2_v1.0.1</v>
      </c>
      <c r="J360" t="b">
        <f>IF(COUNTIF('Sheet 1 - assemblies'!B:B,Sheet2!I360)=1,TRUE,FALSE)</f>
        <v>0</v>
      </c>
    </row>
    <row r="361" spans="1:10" x14ac:dyDescent="0.15">
      <c r="A361"/>
      <c r="G361" s="4" t="s">
        <v>369</v>
      </c>
      <c r="I361" s="4" t="str">
        <f t="shared" si="5"/>
        <v>NA18747_hap2_hprc_r2_v1.0.1</v>
      </c>
      <c r="J361" t="b">
        <f>IF(COUNTIF('Sheet 1 - assemblies'!B:B,Sheet2!I361)=1,TRUE,FALSE)</f>
        <v>0</v>
      </c>
    </row>
    <row r="362" spans="1:10" x14ac:dyDescent="0.15">
      <c r="A362"/>
      <c r="G362" s="4" t="s">
        <v>370</v>
      </c>
      <c r="I362" s="4" t="str">
        <f t="shared" si="5"/>
        <v>NA18879_hap1_hprc_r2_v1.0.1</v>
      </c>
      <c r="J362" t="b">
        <f>IF(COUNTIF('Sheet 1 - assemblies'!B:B,Sheet2!I362)=1,TRUE,FALSE)</f>
        <v>0</v>
      </c>
    </row>
    <row r="363" spans="1:10" x14ac:dyDescent="0.15">
      <c r="A363"/>
      <c r="G363" s="4" t="s">
        <v>371</v>
      </c>
      <c r="I363" s="4" t="str">
        <f t="shared" si="5"/>
        <v>NA18879_hap2_hprc_r2_v1.0.1</v>
      </c>
      <c r="J363" t="b">
        <f>IF(COUNTIF('Sheet 1 - assemblies'!B:B,Sheet2!I363)=1,TRUE,FALSE)</f>
        <v>0</v>
      </c>
    </row>
    <row r="364" spans="1:10" x14ac:dyDescent="0.15">
      <c r="A364"/>
      <c r="G364" s="4" t="s">
        <v>372</v>
      </c>
      <c r="I364" s="4" t="str">
        <f t="shared" si="5"/>
        <v>NA18906_mat_hprc_r2_v1.0.1</v>
      </c>
      <c r="J364" t="b">
        <f>IF(COUNTIF('Sheet 1 - assemblies'!B:B,Sheet2!I364)=1,TRUE,FALSE)</f>
        <v>0</v>
      </c>
    </row>
    <row r="365" spans="1:10" x14ac:dyDescent="0.15">
      <c r="A365"/>
      <c r="G365" s="4" t="s">
        <v>373</v>
      </c>
      <c r="I365" s="4" t="str">
        <f t="shared" si="5"/>
        <v>NA18906_pat_hprc_r2_v1.0.1</v>
      </c>
      <c r="J365" t="b">
        <f>IF(COUNTIF('Sheet 1 - assemblies'!B:B,Sheet2!I365)=1,TRUE,FALSE)</f>
        <v>0</v>
      </c>
    </row>
    <row r="366" spans="1:10" x14ac:dyDescent="0.15">
      <c r="A366"/>
      <c r="G366" s="4" t="s">
        <v>374</v>
      </c>
      <c r="I366" s="4" t="str">
        <f t="shared" si="5"/>
        <v>NA18940_hap1_hprc_r2_v1.0.1</v>
      </c>
      <c r="J366" t="b">
        <f>IF(COUNTIF('Sheet 1 - assemblies'!B:B,Sheet2!I366)=1,TRUE,FALSE)</f>
        <v>0</v>
      </c>
    </row>
    <row r="367" spans="1:10" x14ac:dyDescent="0.15">
      <c r="A367"/>
      <c r="G367" s="4" t="s">
        <v>375</v>
      </c>
      <c r="I367" s="4" t="str">
        <f t="shared" si="5"/>
        <v>NA18940_hap2_hprc_r2_v1.0.1</v>
      </c>
      <c r="J367" t="b">
        <f>IF(COUNTIF('Sheet 1 - assemblies'!B:B,Sheet2!I367)=1,TRUE,FALSE)</f>
        <v>0</v>
      </c>
    </row>
    <row r="368" spans="1:10" x14ac:dyDescent="0.15">
      <c r="A368"/>
      <c r="G368" s="4" t="s">
        <v>376</v>
      </c>
      <c r="I368" s="4" t="str">
        <f t="shared" si="5"/>
        <v>NA18943_hap1_hprc_r2_v1.0.1</v>
      </c>
      <c r="J368" t="b">
        <f>IF(COUNTIF('Sheet 1 - assemblies'!B:B,Sheet2!I368)=1,TRUE,FALSE)</f>
        <v>0</v>
      </c>
    </row>
    <row r="369" spans="1:10" x14ac:dyDescent="0.15">
      <c r="A369"/>
      <c r="G369" s="4" t="s">
        <v>377</v>
      </c>
      <c r="I369" s="4" t="str">
        <f t="shared" si="5"/>
        <v>NA18943_hap2_hprc_r2_v1.0.1</v>
      </c>
      <c r="J369" t="b">
        <f>IF(COUNTIF('Sheet 1 - assemblies'!B:B,Sheet2!I369)=1,TRUE,FALSE)</f>
        <v>0</v>
      </c>
    </row>
    <row r="370" spans="1:10" x14ac:dyDescent="0.15">
      <c r="A370"/>
      <c r="G370" s="4" t="s">
        <v>378</v>
      </c>
      <c r="I370" s="4" t="str">
        <f t="shared" si="5"/>
        <v>NA18944_hap1_hprc_r2_v1.0.1</v>
      </c>
      <c r="J370" t="b">
        <f>IF(COUNTIF('Sheet 1 - assemblies'!B:B,Sheet2!I370)=1,TRUE,FALSE)</f>
        <v>0</v>
      </c>
    </row>
    <row r="371" spans="1:10" x14ac:dyDescent="0.15">
      <c r="A371"/>
      <c r="G371" s="4" t="s">
        <v>379</v>
      </c>
      <c r="I371" s="4" t="str">
        <f t="shared" si="5"/>
        <v>NA18944_hap2_hprc_r2_v1.0.1</v>
      </c>
      <c r="J371" t="b">
        <f>IF(COUNTIF('Sheet 1 - assemblies'!B:B,Sheet2!I371)=1,TRUE,FALSE)</f>
        <v>0</v>
      </c>
    </row>
    <row r="372" spans="1:10" x14ac:dyDescent="0.15">
      <c r="A372"/>
      <c r="G372" s="4" t="s">
        <v>380</v>
      </c>
      <c r="I372" s="4" t="str">
        <f t="shared" si="5"/>
        <v>NA18945_hap1_hprc_r2_v1.0.1</v>
      </c>
      <c r="J372" t="b">
        <f>IF(COUNTIF('Sheet 1 - assemblies'!B:B,Sheet2!I372)=1,TRUE,FALSE)</f>
        <v>0</v>
      </c>
    </row>
    <row r="373" spans="1:10" x14ac:dyDescent="0.15">
      <c r="A373"/>
      <c r="G373" s="4" t="s">
        <v>381</v>
      </c>
      <c r="I373" s="4" t="str">
        <f t="shared" si="5"/>
        <v>NA18945_hap2_hprc_r2_v1.0.1</v>
      </c>
      <c r="J373" t="b">
        <f>IF(COUNTIF('Sheet 1 - assemblies'!B:B,Sheet2!I373)=1,TRUE,FALSE)</f>
        <v>0</v>
      </c>
    </row>
    <row r="374" spans="1:10" x14ac:dyDescent="0.15">
      <c r="A374"/>
      <c r="G374" s="4" t="s">
        <v>382</v>
      </c>
      <c r="I374" s="4" t="str">
        <f t="shared" si="5"/>
        <v>NA18948_hap1_hprc_r2_v1.0.1</v>
      </c>
      <c r="J374" t="b">
        <f>IF(COUNTIF('Sheet 1 - assemblies'!B:B,Sheet2!I374)=1,TRUE,FALSE)</f>
        <v>0</v>
      </c>
    </row>
    <row r="375" spans="1:10" x14ac:dyDescent="0.15">
      <c r="A375"/>
      <c r="G375" s="4" t="s">
        <v>383</v>
      </c>
      <c r="I375" s="4" t="str">
        <f t="shared" si="5"/>
        <v>NA18948_hap2_hprc_r2_v1.0.1</v>
      </c>
      <c r="J375" t="b">
        <f>IF(COUNTIF('Sheet 1 - assemblies'!B:B,Sheet2!I375)=1,TRUE,FALSE)</f>
        <v>0</v>
      </c>
    </row>
    <row r="376" spans="1:10" x14ac:dyDescent="0.15">
      <c r="A376"/>
      <c r="G376" s="4" t="s">
        <v>384</v>
      </c>
      <c r="I376" s="4" t="str">
        <f t="shared" si="5"/>
        <v>NA18952_hap1_hprc_r2_v1.0.1</v>
      </c>
      <c r="J376" t="b">
        <f>IF(COUNTIF('Sheet 1 - assemblies'!B:B,Sheet2!I376)=1,TRUE,FALSE)</f>
        <v>0</v>
      </c>
    </row>
    <row r="377" spans="1:10" x14ac:dyDescent="0.15">
      <c r="A377"/>
      <c r="G377" s="4" t="s">
        <v>385</v>
      </c>
      <c r="I377" s="4" t="str">
        <f t="shared" si="5"/>
        <v>NA18952_hap2_hprc_r2_v1.0.1</v>
      </c>
      <c r="J377" t="b">
        <f>IF(COUNTIF('Sheet 1 - assemblies'!B:B,Sheet2!I377)=1,TRUE,FALSE)</f>
        <v>0</v>
      </c>
    </row>
    <row r="378" spans="1:10" x14ac:dyDescent="0.15">
      <c r="A378"/>
      <c r="G378" s="4" t="s">
        <v>386</v>
      </c>
      <c r="I378" s="4" t="str">
        <f t="shared" si="5"/>
        <v>NA18959_hap1_hprc_r2_v1.0.1</v>
      </c>
      <c r="J378" t="b">
        <f>IF(COUNTIF('Sheet 1 - assemblies'!B:B,Sheet2!I378)=1,TRUE,FALSE)</f>
        <v>0</v>
      </c>
    </row>
    <row r="379" spans="1:10" x14ac:dyDescent="0.15">
      <c r="A379"/>
      <c r="G379" s="4" t="s">
        <v>387</v>
      </c>
      <c r="I379" s="4" t="str">
        <f t="shared" si="5"/>
        <v>NA18959_hap2_hprc_r2_v1.0.1</v>
      </c>
      <c r="J379" t="b">
        <f>IF(COUNTIF('Sheet 1 - assemblies'!B:B,Sheet2!I379)=1,TRUE,FALSE)</f>
        <v>0</v>
      </c>
    </row>
    <row r="380" spans="1:10" x14ac:dyDescent="0.15">
      <c r="A380"/>
      <c r="G380" s="4" t="s">
        <v>388</v>
      </c>
      <c r="I380" s="4" t="str">
        <f t="shared" si="5"/>
        <v>NA18960_hap1_hprc_r2_v1.0.1</v>
      </c>
      <c r="J380" t="b">
        <f>IF(COUNTIF('Sheet 1 - assemblies'!B:B,Sheet2!I380)=1,TRUE,FALSE)</f>
        <v>0</v>
      </c>
    </row>
    <row r="381" spans="1:10" x14ac:dyDescent="0.15">
      <c r="A381"/>
      <c r="G381" s="4" t="s">
        <v>389</v>
      </c>
      <c r="I381" s="4" t="str">
        <f t="shared" si="5"/>
        <v>NA18960_hap2_hprc_r2_v1.0.1</v>
      </c>
      <c r="J381" t="b">
        <f>IF(COUNTIF('Sheet 1 - assemblies'!B:B,Sheet2!I381)=1,TRUE,FALSE)</f>
        <v>0</v>
      </c>
    </row>
    <row r="382" spans="1:10" x14ac:dyDescent="0.15">
      <c r="A382"/>
      <c r="G382" s="4" t="s">
        <v>390</v>
      </c>
      <c r="I382" s="4" t="str">
        <f t="shared" si="5"/>
        <v>NA18967_hap1_hprc_r2_v1.0.1</v>
      </c>
      <c r="J382" t="b">
        <f>IF(COUNTIF('Sheet 1 - assemblies'!B:B,Sheet2!I382)=1,TRUE,FALSE)</f>
        <v>0</v>
      </c>
    </row>
    <row r="383" spans="1:10" x14ac:dyDescent="0.15">
      <c r="A383"/>
      <c r="G383" s="4" t="s">
        <v>391</v>
      </c>
      <c r="I383" s="4" t="str">
        <f t="shared" si="5"/>
        <v>NA18967_hap2_hprc_r2_v1.0.1</v>
      </c>
      <c r="J383" t="b">
        <f>IF(COUNTIF('Sheet 1 - assemblies'!B:B,Sheet2!I383)=1,TRUE,FALSE)</f>
        <v>0</v>
      </c>
    </row>
    <row r="384" spans="1:10" x14ac:dyDescent="0.15">
      <c r="A384"/>
      <c r="G384" s="4" t="s">
        <v>392</v>
      </c>
      <c r="I384" s="4" t="str">
        <f t="shared" si="5"/>
        <v>NA18970_hap1_hprc_r2_v1.0.1</v>
      </c>
      <c r="J384" t="b">
        <f>IF(COUNTIF('Sheet 1 - assemblies'!B:B,Sheet2!I384)=1,TRUE,FALSE)</f>
        <v>0</v>
      </c>
    </row>
    <row r="385" spans="1:10" x14ac:dyDescent="0.15">
      <c r="A385"/>
      <c r="G385" s="4" t="s">
        <v>393</v>
      </c>
      <c r="I385" s="4" t="str">
        <f t="shared" si="5"/>
        <v>NA18970_hap2_hprc_r2_v1.0.1</v>
      </c>
      <c r="J385" t="b">
        <f>IF(COUNTIF('Sheet 1 - assemblies'!B:B,Sheet2!I385)=1,TRUE,FALSE)</f>
        <v>0</v>
      </c>
    </row>
    <row r="386" spans="1:10" x14ac:dyDescent="0.15">
      <c r="A386"/>
      <c r="G386" s="4" t="s">
        <v>394</v>
      </c>
      <c r="I386" s="4" t="str">
        <f t="shared" ref="I386:I449" si="6">LEFT(G386,LEN(G386)-1)</f>
        <v>NA18971_hap1_hprc_r2_v1.0.1</v>
      </c>
      <c r="J386" t="b">
        <f>IF(COUNTIF('Sheet 1 - assemblies'!B:B,Sheet2!I386)=1,TRUE,FALSE)</f>
        <v>0</v>
      </c>
    </row>
    <row r="387" spans="1:10" x14ac:dyDescent="0.15">
      <c r="A387"/>
      <c r="G387" s="4" t="s">
        <v>395</v>
      </c>
      <c r="I387" s="4" t="str">
        <f t="shared" si="6"/>
        <v>NA18971_hap2_hprc_r2_v1.0.1</v>
      </c>
      <c r="J387" t="b">
        <f>IF(COUNTIF('Sheet 1 - assemblies'!B:B,Sheet2!I387)=1,TRUE,FALSE)</f>
        <v>0</v>
      </c>
    </row>
    <row r="388" spans="1:10" x14ac:dyDescent="0.15">
      <c r="A388"/>
      <c r="G388" s="4" t="s">
        <v>396</v>
      </c>
      <c r="I388" s="4" t="str">
        <f t="shared" si="6"/>
        <v>NA18974_hap1_hprc_r2_v1.0.1</v>
      </c>
      <c r="J388" t="b">
        <f>IF(COUNTIF('Sheet 1 - assemblies'!B:B,Sheet2!I388)=1,TRUE,FALSE)</f>
        <v>0</v>
      </c>
    </row>
    <row r="389" spans="1:10" x14ac:dyDescent="0.15">
      <c r="A389"/>
      <c r="G389" s="4" t="s">
        <v>397</v>
      </c>
      <c r="I389" s="4" t="str">
        <f t="shared" si="6"/>
        <v>NA18974_hap2_hprc_r2_v1.0.1</v>
      </c>
      <c r="J389" t="b">
        <f>IF(COUNTIF('Sheet 1 - assemblies'!B:B,Sheet2!I389)=1,TRUE,FALSE)</f>
        <v>0</v>
      </c>
    </row>
    <row r="390" spans="1:10" x14ac:dyDescent="0.15">
      <c r="A390"/>
      <c r="G390" s="4" t="s">
        <v>398</v>
      </c>
      <c r="I390" s="4" t="str">
        <f t="shared" si="6"/>
        <v>NA18976_hap1_hprc_r2_v1.0.1</v>
      </c>
      <c r="J390" t="b">
        <f>IF(COUNTIF('Sheet 1 - assemblies'!B:B,Sheet2!I390)=1,TRUE,FALSE)</f>
        <v>0</v>
      </c>
    </row>
    <row r="391" spans="1:10" x14ac:dyDescent="0.15">
      <c r="A391"/>
      <c r="G391" s="4" t="s">
        <v>399</v>
      </c>
      <c r="I391" s="4" t="str">
        <f t="shared" si="6"/>
        <v>NA18976_hap2_hprc_r2_v1.0.1</v>
      </c>
      <c r="J391" t="b">
        <f>IF(COUNTIF('Sheet 1 - assemblies'!B:B,Sheet2!I391)=1,TRUE,FALSE)</f>
        <v>0</v>
      </c>
    </row>
    <row r="392" spans="1:10" x14ac:dyDescent="0.15">
      <c r="A392"/>
      <c r="G392" s="4" t="s">
        <v>400</v>
      </c>
      <c r="I392" s="4" t="str">
        <f t="shared" si="6"/>
        <v>NA18982_hap1_hprc_r2_v1.0.1</v>
      </c>
      <c r="J392" t="b">
        <f>IF(COUNTIF('Sheet 1 - assemblies'!B:B,Sheet2!I392)=1,TRUE,FALSE)</f>
        <v>0</v>
      </c>
    </row>
    <row r="393" spans="1:10" x14ac:dyDescent="0.15">
      <c r="A393"/>
      <c r="G393" s="4" t="s">
        <v>401</v>
      </c>
      <c r="I393" s="4" t="str">
        <f t="shared" si="6"/>
        <v>NA18982_hap2_hprc_r2_v1.0.1</v>
      </c>
      <c r="J393" t="b">
        <f>IF(COUNTIF('Sheet 1 - assemblies'!B:B,Sheet2!I393)=1,TRUE,FALSE)</f>
        <v>0</v>
      </c>
    </row>
    <row r="394" spans="1:10" x14ac:dyDescent="0.15">
      <c r="A394"/>
      <c r="G394" s="4" t="s">
        <v>402</v>
      </c>
      <c r="I394" s="4" t="str">
        <f t="shared" si="6"/>
        <v>NA18983_hap1_hprc_r2_v1.0.1</v>
      </c>
      <c r="J394" t="b">
        <f>IF(COUNTIF('Sheet 1 - assemblies'!B:B,Sheet2!I394)=1,TRUE,FALSE)</f>
        <v>0</v>
      </c>
    </row>
    <row r="395" spans="1:10" x14ac:dyDescent="0.15">
      <c r="A395"/>
      <c r="G395" s="4" t="s">
        <v>403</v>
      </c>
      <c r="I395" s="4" t="str">
        <f t="shared" si="6"/>
        <v>NA18983_hap2_hprc_r2_v1.0.1</v>
      </c>
      <c r="J395" t="b">
        <f>IF(COUNTIF('Sheet 1 - assemblies'!B:B,Sheet2!I395)=1,TRUE,FALSE)</f>
        <v>0</v>
      </c>
    </row>
    <row r="396" spans="1:10" x14ac:dyDescent="0.15">
      <c r="A396"/>
      <c r="G396" s="4" t="s">
        <v>404</v>
      </c>
      <c r="I396" s="4" t="str">
        <f t="shared" si="6"/>
        <v>NA19036_hap1_hprc_r2_v1.0.1</v>
      </c>
      <c r="J396" t="b">
        <f>IF(COUNTIF('Sheet 1 - assemblies'!B:B,Sheet2!I396)=1,TRUE,FALSE)</f>
        <v>0</v>
      </c>
    </row>
    <row r="397" spans="1:10" x14ac:dyDescent="0.15">
      <c r="A397"/>
      <c r="G397" s="4" t="s">
        <v>405</v>
      </c>
      <c r="I397" s="4" t="str">
        <f t="shared" si="6"/>
        <v>NA19036_hap2_hprc_r2_v1.0.1</v>
      </c>
      <c r="J397" t="b">
        <f>IF(COUNTIF('Sheet 1 - assemblies'!B:B,Sheet2!I397)=1,TRUE,FALSE)</f>
        <v>0</v>
      </c>
    </row>
    <row r="398" spans="1:10" x14ac:dyDescent="0.15">
      <c r="A398"/>
      <c r="G398" s="4" t="s">
        <v>406</v>
      </c>
      <c r="I398" s="4" t="str">
        <f t="shared" si="6"/>
        <v>NA19043_hap1_hprc_r2_v1.0.1</v>
      </c>
      <c r="J398" t="b">
        <f>IF(COUNTIF('Sheet 1 - assemblies'!B:B,Sheet2!I398)=1,TRUE,FALSE)</f>
        <v>0</v>
      </c>
    </row>
    <row r="399" spans="1:10" x14ac:dyDescent="0.15">
      <c r="A399"/>
      <c r="G399" s="4" t="s">
        <v>407</v>
      </c>
      <c r="I399" s="4" t="str">
        <f t="shared" si="6"/>
        <v>NA19043_hap2_hprc_r2_v1.0.1</v>
      </c>
      <c r="J399" t="b">
        <f>IF(COUNTIF('Sheet 1 - assemblies'!B:B,Sheet2!I399)=1,TRUE,FALSE)</f>
        <v>0</v>
      </c>
    </row>
    <row r="400" spans="1:10" x14ac:dyDescent="0.15">
      <c r="A400"/>
      <c r="G400" s="4" t="s">
        <v>408</v>
      </c>
      <c r="I400" s="4" t="str">
        <f t="shared" si="6"/>
        <v>NA19087_hap1_hprc_r2_v1.0.1</v>
      </c>
      <c r="J400" t="b">
        <f>IF(COUNTIF('Sheet 1 - assemblies'!B:B,Sheet2!I400)=1,TRUE,FALSE)</f>
        <v>0</v>
      </c>
    </row>
    <row r="401" spans="1:10" x14ac:dyDescent="0.15">
      <c r="A401"/>
      <c r="G401" s="4" t="s">
        <v>409</v>
      </c>
      <c r="I401" s="4" t="str">
        <f t="shared" si="6"/>
        <v>NA19087_hap2_hprc_r2_v1.0.1</v>
      </c>
      <c r="J401" t="b">
        <f>IF(COUNTIF('Sheet 1 - assemblies'!B:B,Sheet2!I401)=1,TRUE,FALSE)</f>
        <v>0</v>
      </c>
    </row>
    <row r="402" spans="1:10" x14ac:dyDescent="0.15">
      <c r="A402"/>
      <c r="G402" s="4" t="s">
        <v>410</v>
      </c>
      <c r="I402" s="4" t="str">
        <f t="shared" si="6"/>
        <v>NA19159_hap1_hprc_r2_v1.0.1</v>
      </c>
      <c r="J402" t="b">
        <f>IF(COUNTIF('Sheet 1 - assemblies'!B:B,Sheet2!I402)=1,TRUE,FALSE)</f>
        <v>0</v>
      </c>
    </row>
    <row r="403" spans="1:10" x14ac:dyDescent="0.15">
      <c r="A403"/>
      <c r="G403" s="4" t="s">
        <v>411</v>
      </c>
      <c r="I403" s="4" t="str">
        <f t="shared" si="6"/>
        <v>NA19159_hap2_hprc_r2_v1.0.1</v>
      </c>
      <c r="J403" t="b">
        <f>IF(COUNTIF('Sheet 1 - assemblies'!B:B,Sheet2!I403)=1,TRUE,FALSE)</f>
        <v>0</v>
      </c>
    </row>
    <row r="404" spans="1:10" x14ac:dyDescent="0.15">
      <c r="A404"/>
      <c r="G404" s="4" t="s">
        <v>412</v>
      </c>
      <c r="I404" s="4" t="str">
        <f t="shared" si="6"/>
        <v>NA19185_hap1_hprc_r2_v1.0.1</v>
      </c>
      <c r="J404" t="b">
        <f>IF(COUNTIF('Sheet 1 - assemblies'!B:B,Sheet2!I404)=1,TRUE,FALSE)</f>
        <v>0</v>
      </c>
    </row>
    <row r="405" spans="1:10" x14ac:dyDescent="0.15">
      <c r="A405"/>
      <c r="G405" s="4" t="s">
        <v>413</v>
      </c>
      <c r="I405" s="4" t="str">
        <f t="shared" si="6"/>
        <v>NA19185_hap2_hprc_r2_v1.0.1</v>
      </c>
      <c r="J405" t="b">
        <f>IF(COUNTIF('Sheet 1 - assemblies'!B:B,Sheet2!I405)=1,TRUE,FALSE)</f>
        <v>0</v>
      </c>
    </row>
    <row r="406" spans="1:10" x14ac:dyDescent="0.15">
      <c r="A406"/>
      <c r="G406" s="4" t="s">
        <v>414</v>
      </c>
      <c r="I406" s="4" t="str">
        <f t="shared" si="6"/>
        <v>NA19240_mat_hprc_r2_v1.0.1</v>
      </c>
      <c r="J406" t="b">
        <f>IF(COUNTIF('Sheet 1 - assemblies'!B:B,Sheet2!I406)=1,TRUE,FALSE)</f>
        <v>0</v>
      </c>
    </row>
    <row r="407" spans="1:10" x14ac:dyDescent="0.15">
      <c r="A407"/>
      <c r="G407" s="4" t="s">
        <v>415</v>
      </c>
      <c r="I407" s="4" t="str">
        <f t="shared" si="6"/>
        <v>NA19240_pat_hprc_r2_v1.0.1</v>
      </c>
      <c r="J407" t="b">
        <f>IF(COUNTIF('Sheet 1 - assemblies'!B:B,Sheet2!I407)=1,TRUE,FALSE)</f>
        <v>0</v>
      </c>
    </row>
    <row r="408" spans="1:10" x14ac:dyDescent="0.15">
      <c r="A408"/>
      <c r="G408" s="4" t="s">
        <v>416</v>
      </c>
      <c r="I408" s="4" t="str">
        <f t="shared" si="6"/>
        <v>NA19338_hap1_hprc_r2_v1.0.1</v>
      </c>
      <c r="J408" t="b">
        <f>IF(COUNTIF('Sheet 1 - assemblies'!B:B,Sheet2!I408)=1,TRUE,FALSE)</f>
        <v>0</v>
      </c>
    </row>
    <row r="409" spans="1:10" x14ac:dyDescent="0.15">
      <c r="A409"/>
      <c r="G409" s="4" t="s">
        <v>417</v>
      </c>
      <c r="I409" s="4" t="str">
        <f t="shared" si="6"/>
        <v>NA19338_hap2_hprc_r2_v1.0.1</v>
      </c>
      <c r="J409" t="b">
        <f>IF(COUNTIF('Sheet 1 - assemblies'!B:B,Sheet2!I409)=1,TRUE,FALSE)</f>
        <v>0</v>
      </c>
    </row>
    <row r="410" spans="1:10" x14ac:dyDescent="0.15">
      <c r="A410"/>
      <c r="G410" s="4" t="s">
        <v>418</v>
      </c>
      <c r="I410" s="4" t="str">
        <f t="shared" si="6"/>
        <v>NA19391_hap1_hprc_r2_v1.0.1</v>
      </c>
      <c r="J410" t="b">
        <f>IF(COUNTIF('Sheet 1 - assemblies'!B:B,Sheet2!I410)=1,TRUE,FALSE)</f>
        <v>0</v>
      </c>
    </row>
    <row r="411" spans="1:10" x14ac:dyDescent="0.15">
      <c r="A411"/>
      <c r="G411" s="4" t="s">
        <v>419</v>
      </c>
      <c r="I411" s="4" t="str">
        <f t="shared" si="6"/>
        <v>NA19391_hap2_hprc_r2_v1.0.1</v>
      </c>
      <c r="J411" t="b">
        <f>IF(COUNTIF('Sheet 1 - assemblies'!B:B,Sheet2!I411)=1,TRUE,FALSE)</f>
        <v>0</v>
      </c>
    </row>
    <row r="412" spans="1:10" x14ac:dyDescent="0.15">
      <c r="A412"/>
      <c r="G412" s="4" t="s">
        <v>420</v>
      </c>
      <c r="I412" s="4" t="str">
        <f t="shared" si="6"/>
        <v>NA19443_hap1_hprc_r2_v1.0.1</v>
      </c>
      <c r="J412" t="b">
        <f>IF(COUNTIF('Sheet 1 - assemblies'!B:B,Sheet2!I412)=1,TRUE,FALSE)</f>
        <v>0</v>
      </c>
    </row>
    <row r="413" spans="1:10" x14ac:dyDescent="0.15">
      <c r="A413"/>
      <c r="G413" s="4" t="s">
        <v>421</v>
      </c>
      <c r="I413" s="4" t="str">
        <f t="shared" si="6"/>
        <v>NA19443_hap2_hprc_r2_v1.0.1</v>
      </c>
      <c r="J413" t="b">
        <f>IF(COUNTIF('Sheet 1 - assemblies'!B:B,Sheet2!I413)=1,TRUE,FALSE)</f>
        <v>0</v>
      </c>
    </row>
    <row r="414" spans="1:10" x14ac:dyDescent="0.15">
      <c r="A414"/>
      <c r="G414" s="4" t="s">
        <v>422</v>
      </c>
      <c r="I414" s="4" t="str">
        <f t="shared" si="6"/>
        <v>NA19468_hap1_hprc_r2_v1.0.1</v>
      </c>
      <c r="J414" t="b">
        <f>IF(COUNTIF('Sheet 1 - assemblies'!B:B,Sheet2!I414)=1,TRUE,FALSE)</f>
        <v>0</v>
      </c>
    </row>
    <row r="415" spans="1:10" x14ac:dyDescent="0.15">
      <c r="A415"/>
      <c r="G415" s="4" t="s">
        <v>423</v>
      </c>
      <c r="I415" s="4" t="str">
        <f t="shared" si="6"/>
        <v>NA19468_hap2_hprc_r2_v1.0.1</v>
      </c>
      <c r="J415" t="b">
        <f>IF(COUNTIF('Sheet 1 - assemblies'!B:B,Sheet2!I415)=1,TRUE,FALSE)</f>
        <v>0</v>
      </c>
    </row>
    <row r="416" spans="1:10" x14ac:dyDescent="0.15">
      <c r="A416"/>
      <c r="G416" s="4" t="s">
        <v>424</v>
      </c>
      <c r="I416" s="4" t="str">
        <f t="shared" si="6"/>
        <v>NA19682_hap1_hprc_r2_v1.0.1</v>
      </c>
      <c r="J416" t="b">
        <f>IF(COUNTIF('Sheet 1 - assemblies'!B:B,Sheet2!I416)=1,TRUE,FALSE)</f>
        <v>0</v>
      </c>
    </row>
    <row r="417" spans="1:10" x14ac:dyDescent="0.15">
      <c r="A417"/>
      <c r="G417" s="4" t="s">
        <v>425</v>
      </c>
      <c r="I417" s="4" t="str">
        <f t="shared" si="6"/>
        <v>NA19682_hap2_hprc_r2_v1.0.1</v>
      </c>
      <c r="J417" t="b">
        <f>IF(COUNTIF('Sheet 1 - assemblies'!B:B,Sheet2!I417)=1,TRUE,FALSE)</f>
        <v>0</v>
      </c>
    </row>
    <row r="418" spans="1:10" x14ac:dyDescent="0.15">
      <c r="A418"/>
      <c r="G418" s="4" t="s">
        <v>426</v>
      </c>
      <c r="I418" s="4" t="str">
        <f t="shared" si="6"/>
        <v>NA19700_hap1_hprc_r2_v1.0.1</v>
      </c>
      <c r="J418" t="b">
        <f>IF(COUNTIF('Sheet 1 - assemblies'!B:B,Sheet2!I418)=1,TRUE,FALSE)</f>
        <v>0</v>
      </c>
    </row>
    <row r="419" spans="1:10" x14ac:dyDescent="0.15">
      <c r="A419"/>
      <c r="G419" s="4" t="s">
        <v>427</v>
      </c>
      <c r="I419" s="4" t="str">
        <f t="shared" si="6"/>
        <v>NA19700_hap2_hprc_r2_v1.0.1</v>
      </c>
      <c r="J419" t="b">
        <f>IF(COUNTIF('Sheet 1 - assemblies'!B:B,Sheet2!I419)=1,TRUE,FALSE)</f>
        <v>0</v>
      </c>
    </row>
    <row r="420" spans="1:10" x14ac:dyDescent="0.15">
      <c r="A420"/>
      <c r="G420" s="4" t="s">
        <v>428</v>
      </c>
      <c r="I420" s="4" t="str">
        <f t="shared" si="6"/>
        <v>NA19776_hap1_hprc_r2_v1.0.1</v>
      </c>
      <c r="J420" t="b">
        <f>IF(COUNTIF('Sheet 1 - assemblies'!B:B,Sheet2!I420)=1,TRUE,FALSE)</f>
        <v>0</v>
      </c>
    </row>
    <row r="421" spans="1:10" x14ac:dyDescent="0.15">
      <c r="A421"/>
      <c r="G421" s="4" t="s">
        <v>429</v>
      </c>
      <c r="I421" s="4" t="str">
        <f t="shared" si="6"/>
        <v>NA19776_hap2_hprc_r2_v1.0.1</v>
      </c>
      <c r="J421" t="b">
        <f>IF(COUNTIF('Sheet 1 - assemblies'!B:B,Sheet2!I421)=1,TRUE,FALSE)</f>
        <v>0</v>
      </c>
    </row>
    <row r="422" spans="1:10" x14ac:dyDescent="0.15">
      <c r="A422"/>
      <c r="G422" s="4" t="s">
        <v>430</v>
      </c>
      <c r="I422" s="4" t="str">
        <f t="shared" si="6"/>
        <v>NA19835_hap1_hprc_r2_v1.0.1</v>
      </c>
      <c r="J422" t="b">
        <f>IF(COUNTIF('Sheet 1 - assemblies'!B:B,Sheet2!I422)=1,TRUE,FALSE)</f>
        <v>0</v>
      </c>
    </row>
    <row r="423" spans="1:10" x14ac:dyDescent="0.15">
      <c r="A423"/>
      <c r="G423" s="4" t="s">
        <v>431</v>
      </c>
      <c r="I423" s="4" t="str">
        <f t="shared" si="6"/>
        <v>NA19835_hap2_hprc_r2_v1.0.1</v>
      </c>
      <c r="J423" t="b">
        <f>IF(COUNTIF('Sheet 1 - assemblies'!B:B,Sheet2!I423)=1,TRUE,FALSE)</f>
        <v>0</v>
      </c>
    </row>
    <row r="424" spans="1:10" x14ac:dyDescent="0.15">
      <c r="A424"/>
      <c r="G424" s="4" t="s">
        <v>432</v>
      </c>
      <c r="I424" s="4" t="str">
        <f t="shared" si="6"/>
        <v>NA19909_hap1_hprc_r2_v1.0.1</v>
      </c>
      <c r="J424" t="b">
        <f>IF(COUNTIF('Sheet 1 - assemblies'!B:B,Sheet2!I424)=1,TRUE,FALSE)</f>
        <v>0</v>
      </c>
    </row>
    <row r="425" spans="1:10" x14ac:dyDescent="0.15">
      <c r="A425"/>
      <c r="G425" s="4" t="s">
        <v>433</v>
      </c>
      <c r="I425" s="4" t="str">
        <f t="shared" si="6"/>
        <v>NA19909_hap2_hprc_r2_v1.0.1</v>
      </c>
      <c r="J425" t="b">
        <f>IF(COUNTIF('Sheet 1 - assemblies'!B:B,Sheet2!I425)=1,TRUE,FALSE)</f>
        <v>0</v>
      </c>
    </row>
    <row r="426" spans="1:10" x14ac:dyDescent="0.15">
      <c r="A426"/>
      <c r="G426" s="4" t="s">
        <v>434</v>
      </c>
      <c r="I426" s="4" t="str">
        <f t="shared" si="6"/>
        <v>NA20129_mat_hprc_r2_v1.0.1</v>
      </c>
      <c r="J426" t="b">
        <f>IF(COUNTIF('Sheet 1 - assemblies'!B:B,Sheet2!I426)=1,TRUE,FALSE)</f>
        <v>0</v>
      </c>
    </row>
    <row r="427" spans="1:10" x14ac:dyDescent="0.15">
      <c r="A427"/>
      <c r="G427" s="4" t="s">
        <v>435</v>
      </c>
      <c r="I427" s="4" t="str">
        <f t="shared" si="6"/>
        <v>NA20129_pat_hprc_r2_v1.0.1</v>
      </c>
      <c r="J427" t="b">
        <f>IF(COUNTIF('Sheet 1 - assemblies'!B:B,Sheet2!I427)=1,TRUE,FALSE)</f>
        <v>0</v>
      </c>
    </row>
    <row r="428" spans="1:10" x14ac:dyDescent="0.15">
      <c r="A428"/>
      <c r="G428" s="4" t="s">
        <v>436</v>
      </c>
      <c r="I428" s="4" t="str">
        <f t="shared" si="6"/>
        <v>NA20282_hap1_hprc_r2_v1.0.1</v>
      </c>
      <c r="J428" t="b">
        <f>IF(COUNTIF('Sheet 1 - assemblies'!B:B,Sheet2!I428)=1,TRUE,FALSE)</f>
        <v>0</v>
      </c>
    </row>
    <row r="429" spans="1:10" x14ac:dyDescent="0.15">
      <c r="A429"/>
      <c r="G429" s="4" t="s">
        <v>437</v>
      </c>
      <c r="I429" s="4" t="str">
        <f t="shared" si="6"/>
        <v>NA20282_hap2_hprc_r2_v1.0.1</v>
      </c>
      <c r="J429" t="b">
        <f>IF(COUNTIF('Sheet 1 - assemblies'!B:B,Sheet2!I429)=1,TRUE,FALSE)</f>
        <v>0</v>
      </c>
    </row>
    <row r="430" spans="1:10" x14ac:dyDescent="0.15">
      <c r="A430"/>
      <c r="G430" s="4" t="s">
        <v>438</v>
      </c>
      <c r="I430" s="4" t="str">
        <f t="shared" si="6"/>
        <v>NA20346_hap1_hprc_r2_v1.0.1</v>
      </c>
      <c r="J430" t="b">
        <f>IF(COUNTIF('Sheet 1 - assemblies'!B:B,Sheet2!I430)=1,TRUE,FALSE)</f>
        <v>0</v>
      </c>
    </row>
    <row r="431" spans="1:10" x14ac:dyDescent="0.15">
      <c r="A431"/>
      <c r="G431" s="4" t="s">
        <v>439</v>
      </c>
      <c r="I431" s="4" t="str">
        <f t="shared" si="6"/>
        <v>NA20346_hap2_hprc_r2_v1.0.1</v>
      </c>
      <c r="J431" t="b">
        <f>IF(COUNTIF('Sheet 1 - assemblies'!B:B,Sheet2!I431)=1,TRUE,FALSE)</f>
        <v>0</v>
      </c>
    </row>
    <row r="432" spans="1:10" x14ac:dyDescent="0.15">
      <c r="A432"/>
      <c r="G432" s="4" t="s">
        <v>440</v>
      </c>
      <c r="I432" s="4" t="str">
        <f t="shared" si="6"/>
        <v>NA20503_hap1_hprc_r2_v1.0.1</v>
      </c>
      <c r="J432" t="b">
        <f>IF(COUNTIF('Sheet 1 - assemblies'!B:B,Sheet2!I432)=1,TRUE,FALSE)</f>
        <v>0</v>
      </c>
    </row>
    <row r="433" spans="1:10" x14ac:dyDescent="0.15">
      <c r="A433"/>
      <c r="G433" s="4" t="s">
        <v>441</v>
      </c>
      <c r="I433" s="4" t="str">
        <f t="shared" si="6"/>
        <v>NA20503_hap2_hprc_r2_v1.0.1</v>
      </c>
      <c r="J433" t="b">
        <f>IF(COUNTIF('Sheet 1 - assemblies'!B:B,Sheet2!I433)=1,TRUE,FALSE)</f>
        <v>0</v>
      </c>
    </row>
    <row r="434" spans="1:10" x14ac:dyDescent="0.15">
      <c r="A434"/>
      <c r="G434" s="4" t="s">
        <v>442</v>
      </c>
      <c r="I434" s="4" t="str">
        <f t="shared" si="6"/>
        <v>NA20752_hap1_hprc_r2_v1.0.1</v>
      </c>
      <c r="J434" t="b">
        <f>IF(COUNTIF('Sheet 1 - assemblies'!B:B,Sheet2!I434)=1,TRUE,FALSE)</f>
        <v>0</v>
      </c>
    </row>
    <row r="435" spans="1:10" x14ac:dyDescent="0.15">
      <c r="A435"/>
      <c r="G435" s="4" t="s">
        <v>443</v>
      </c>
      <c r="I435" s="4" t="str">
        <f t="shared" si="6"/>
        <v>NA20752_hap2_hprc_r2_v1.0.1</v>
      </c>
      <c r="J435" t="b">
        <f>IF(COUNTIF('Sheet 1 - assemblies'!B:B,Sheet2!I435)=1,TRUE,FALSE)</f>
        <v>0</v>
      </c>
    </row>
    <row r="436" spans="1:10" x14ac:dyDescent="0.15">
      <c r="A436"/>
      <c r="G436" s="4" t="s">
        <v>444</v>
      </c>
      <c r="I436" s="4" t="str">
        <f t="shared" si="6"/>
        <v>NA20762_hap1_hprc_r2_v1.0.1</v>
      </c>
      <c r="J436" t="b">
        <f>IF(COUNTIF('Sheet 1 - assemblies'!B:B,Sheet2!I436)=1,TRUE,FALSE)</f>
        <v>0</v>
      </c>
    </row>
    <row r="437" spans="1:10" x14ac:dyDescent="0.15">
      <c r="A437"/>
      <c r="G437" s="4" t="s">
        <v>445</v>
      </c>
      <c r="I437" s="4" t="str">
        <f t="shared" si="6"/>
        <v>NA20762_hap2_hprc_r2_v1.0.1</v>
      </c>
      <c r="J437" t="b">
        <f>IF(COUNTIF('Sheet 1 - assemblies'!B:B,Sheet2!I437)=1,TRUE,FALSE)</f>
        <v>0</v>
      </c>
    </row>
    <row r="438" spans="1:10" x14ac:dyDescent="0.15">
      <c r="A438"/>
      <c r="G438" s="4" t="s">
        <v>446</v>
      </c>
      <c r="I438" s="4" t="str">
        <f t="shared" si="6"/>
        <v>NA20799_hap1_hprc_r2_v1.0.1</v>
      </c>
      <c r="J438" t="b">
        <f>IF(COUNTIF('Sheet 1 - assemblies'!B:B,Sheet2!I438)=1,TRUE,FALSE)</f>
        <v>0</v>
      </c>
    </row>
    <row r="439" spans="1:10" x14ac:dyDescent="0.15">
      <c r="A439"/>
      <c r="G439" s="4" t="s">
        <v>447</v>
      </c>
      <c r="I439" s="4" t="str">
        <f t="shared" si="6"/>
        <v>NA20799_hap2_hprc_r2_v1.0.1</v>
      </c>
      <c r="J439" t="b">
        <f>IF(COUNTIF('Sheet 1 - assemblies'!B:B,Sheet2!I439)=1,TRUE,FALSE)</f>
        <v>0</v>
      </c>
    </row>
    <row r="440" spans="1:10" x14ac:dyDescent="0.15">
      <c r="A440"/>
      <c r="G440" s="4" t="s">
        <v>448</v>
      </c>
      <c r="I440" s="4" t="str">
        <f t="shared" si="6"/>
        <v>NA20805_hap1_hprc_r2_v1.0.1</v>
      </c>
      <c r="J440" t="b">
        <f>IF(COUNTIF('Sheet 1 - assemblies'!B:B,Sheet2!I440)=1,TRUE,FALSE)</f>
        <v>0</v>
      </c>
    </row>
    <row r="441" spans="1:10" x14ac:dyDescent="0.15">
      <c r="A441"/>
      <c r="G441" s="4" t="s">
        <v>449</v>
      </c>
      <c r="I441" s="4" t="str">
        <f t="shared" si="6"/>
        <v>NA20805_hap2_hprc_r2_v1.0.1</v>
      </c>
      <c r="J441" t="b">
        <f>IF(COUNTIF('Sheet 1 - assemblies'!B:B,Sheet2!I441)=1,TRUE,FALSE)</f>
        <v>0</v>
      </c>
    </row>
    <row r="442" spans="1:10" x14ac:dyDescent="0.15">
      <c r="A442"/>
      <c r="G442" s="4" t="s">
        <v>450</v>
      </c>
      <c r="I442" s="4" t="str">
        <f t="shared" si="6"/>
        <v>NA20806_hap1_hprc_r2_v1.0.1</v>
      </c>
      <c r="J442" t="b">
        <f>IF(COUNTIF('Sheet 1 - assemblies'!B:B,Sheet2!I442)=1,TRUE,FALSE)</f>
        <v>0</v>
      </c>
    </row>
    <row r="443" spans="1:10" x14ac:dyDescent="0.15">
      <c r="A443"/>
      <c r="G443" s="4" t="s">
        <v>451</v>
      </c>
      <c r="I443" s="4" t="str">
        <f t="shared" si="6"/>
        <v>NA20806_hap2_hprc_r2_v1.0.1</v>
      </c>
      <c r="J443" t="b">
        <f>IF(COUNTIF('Sheet 1 - assemblies'!B:B,Sheet2!I443)=1,TRUE,FALSE)</f>
        <v>0</v>
      </c>
    </row>
    <row r="444" spans="1:10" x14ac:dyDescent="0.15">
      <c r="A444"/>
      <c r="G444" s="4" t="s">
        <v>452</v>
      </c>
      <c r="I444" s="4" t="str">
        <f t="shared" si="6"/>
        <v>NA20809_hap1_hprc_r2_v1.0.1</v>
      </c>
      <c r="J444" t="b">
        <f>IF(COUNTIF('Sheet 1 - assemblies'!B:B,Sheet2!I444)=1,TRUE,FALSE)</f>
        <v>0</v>
      </c>
    </row>
    <row r="445" spans="1:10" x14ac:dyDescent="0.15">
      <c r="A445"/>
      <c r="G445" s="4" t="s">
        <v>453</v>
      </c>
      <c r="I445" s="4" t="str">
        <f t="shared" si="6"/>
        <v>NA20809_hap2_hprc_r2_v1.0.1</v>
      </c>
      <c r="J445" t="b">
        <f>IF(COUNTIF('Sheet 1 - assemblies'!B:B,Sheet2!I445)=1,TRUE,FALSE)</f>
        <v>0</v>
      </c>
    </row>
    <row r="446" spans="1:10" x14ac:dyDescent="0.15">
      <c r="A446"/>
      <c r="G446" s="4" t="s">
        <v>454</v>
      </c>
      <c r="I446" s="4" t="str">
        <f t="shared" si="6"/>
        <v>NA20827_hap1_hprc_r2_v1.0.1</v>
      </c>
      <c r="J446" t="b">
        <f>IF(COUNTIF('Sheet 1 - assemblies'!B:B,Sheet2!I446)=1,TRUE,FALSE)</f>
        <v>0</v>
      </c>
    </row>
    <row r="447" spans="1:10" x14ac:dyDescent="0.15">
      <c r="A447"/>
      <c r="G447" s="4" t="s">
        <v>455</v>
      </c>
      <c r="I447" s="4" t="str">
        <f t="shared" si="6"/>
        <v>NA20827_hap2_hprc_r2_v1.0.1</v>
      </c>
      <c r="J447" t="b">
        <f>IF(COUNTIF('Sheet 1 - assemblies'!B:B,Sheet2!I447)=1,TRUE,FALSE)</f>
        <v>0</v>
      </c>
    </row>
    <row r="448" spans="1:10" x14ac:dyDescent="0.15">
      <c r="A448"/>
      <c r="G448" s="4" t="s">
        <v>456</v>
      </c>
      <c r="I448" s="4" t="str">
        <f t="shared" si="6"/>
        <v>NA20850_hap1_hprc_r2_v1.0.1</v>
      </c>
      <c r="J448" t="b">
        <f>IF(COUNTIF('Sheet 1 - assemblies'!B:B,Sheet2!I448)=1,TRUE,FALSE)</f>
        <v>0</v>
      </c>
    </row>
    <row r="449" spans="1:10" x14ac:dyDescent="0.15">
      <c r="A449"/>
      <c r="G449" s="4" t="s">
        <v>457</v>
      </c>
      <c r="I449" s="4" t="str">
        <f t="shared" si="6"/>
        <v>NA20850_hap2_hprc_r2_v1.0.1</v>
      </c>
      <c r="J449" t="b">
        <f>IF(COUNTIF('Sheet 1 - assemblies'!B:B,Sheet2!I449)=1,TRUE,FALSE)</f>
        <v>0</v>
      </c>
    </row>
    <row r="450" spans="1:10" x14ac:dyDescent="0.15">
      <c r="A450"/>
      <c r="G450" s="4" t="s">
        <v>458</v>
      </c>
      <c r="I450" s="4" t="str">
        <f t="shared" ref="I450:I467" si="7">LEFT(G450,LEN(G450)-1)</f>
        <v>NA20870_hap1_hprc_r2_v1.0.1</v>
      </c>
      <c r="J450" t="b">
        <f>IF(COUNTIF('Sheet 1 - assemblies'!B:B,Sheet2!I450)=1,TRUE,FALSE)</f>
        <v>0</v>
      </c>
    </row>
    <row r="451" spans="1:10" x14ac:dyDescent="0.15">
      <c r="A451"/>
      <c r="G451" s="4" t="s">
        <v>459</v>
      </c>
      <c r="I451" s="4" t="str">
        <f t="shared" si="7"/>
        <v>NA20870_hap2_hprc_r2_v1.0.1</v>
      </c>
      <c r="J451" t="b">
        <f>IF(COUNTIF('Sheet 1 - assemblies'!B:B,Sheet2!I451)=1,TRUE,FALSE)</f>
        <v>0</v>
      </c>
    </row>
    <row r="452" spans="1:10" x14ac:dyDescent="0.15">
      <c r="A452"/>
      <c r="G452" s="4" t="s">
        <v>460</v>
      </c>
      <c r="I452" s="4" t="str">
        <f t="shared" si="7"/>
        <v>NA20905_hap1_hprc_r2_v1.0.1</v>
      </c>
      <c r="J452" t="b">
        <f>IF(COUNTIF('Sheet 1 - assemblies'!B:B,Sheet2!I452)=1,TRUE,FALSE)</f>
        <v>0</v>
      </c>
    </row>
    <row r="453" spans="1:10" x14ac:dyDescent="0.15">
      <c r="A453"/>
      <c r="G453" s="4" t="s">
        <v>461</v>
      </c>
      <c r="I453" s="4" t="str">
        <f t="shared" si="7"/>
        <v>NA20905_hap2_hprc_r2_v1.0.1</v>
      </c>
      <c r="J453" t="b">
        <f>IF(COUNTIF('Sheet 1 - assemblies'!B:B,Sheet2!I453)=1,TRUE,FALSE)</f>
        <v>0</v>
      </c>
    </row>
    <row r="454" spans="1:10" x14ac:dyDescent="0.15">
      <c r="A454"/>
      <c r="G454" s="4" t="s">
        <v>462</v>
      </c>
      <c r="I454" s="4" t="str">
        <f t="shared" si="7"/>
        <v>NA21093_hap1_hprc_r2_v1.0.1</v>
      </c>
      <c r="J454" t="b">
        <f>IF(COUNTIF('Sheet 1 - assemblies'!B:B,Sheet2!I454)=1,TRUE,FALSE)</f>
        <v>0</v>
      </c>
    </row>
    <row r="455" spans="1:10" x14ac:dyDescent="0.15">
      <c r="A455"/>
      <c r="G455" s="4" t="s">
        <v>463</v>
      </c>
      <c r="I455" s="4" t="str">
        <f t="shared" si="7"/>
        <v>NA21093_hap2_hprc_r2_v1.0.1</v>
      </c>
      <c r="J455" t="b">
        <f>IF(COUNTIF('Sheet 1 - assemblies'!B:B,Sheet2!I455)=1,TRUE,FALSE)</f>
        <v>0</v>
      </c>
    </row>
    <row r="456" spans="1:10" x14ac:dyDescent="0.15">
      <c r="A456"/>
      <c r="G456" s="4" t="s">
        <v>464</v>
      </c>
      <c r="I456" s="4" t="str">
        <f t="shared" si="7"/>
        <v>NA21102_hap1_hprc_r2_v1.0.1</v>
      </c>
      <c r="J456" t="b">
        <f>IF(COUNTIF('Sheet 1 - assemblies'!B:B,Sheet2!I456)=1,TRUE,FALSE)</f>
        <v>0</v>
      </c>
    </row>
    <row r="457" spans="1:10" x14ac:dyDescent="0.15">
      <c r="A457"/>
      <c r="G457" s="4" t="s">
        <v>465</v>
      </c>
      <c r="I457" s="4" t="str">
        <f t="shared" si="7"/>
        <v>NA21102_hap2_hprc_r2_v1.0.1</v>
      </c>
      <c r="J457" t="b">
        <f>IF(COUNTIF('Sheet 1 - assemblies'!B:B,Sheet2!I457)=1,TRUE,FALSE)</f>
        <v>0</v>
      </c>
    </row>
    <row r="458" spans="1:10" x14ac:dyDescent="0.15">
      <c r="A458"/>
      <c r="G458" s="4" t="s">
        <v>466</v>
      </c>
      <c r="I458" s="4" t="str">
        <f t="shared" si="7"/>
        <v>NA21106_hap1_hprc_r2_v1.0.1</v>
      </c>
      <c r="J458" t="b">
        <f>IF(COUNTIF('Sheet 1 - assemblies'!B:B,Sheet2!I458)=1,TRUE,FALSE)</f>
        <v>0</v>
      </c>
    </row>
    <row r="459" spans="1:10" x14ac:dyDescent="0.15">
      <c r="A459"/>
      <c r="G459" s="4" t="s">
        <v>467</v>
      </c>
      <c r="I459" s="4" t="str">
        <f t="shared" si="7"/>
        <v>NA21106_hap2_hprc_r2_v1.0.1</v>
      </c>
      <c r="J459" t="b">
        <f>IF(COUNTIF('Sheet 1 - assemblies'!B:B,Sheet2!I459)=1,TRUE,FALSE)</f>
        <v>0</v>
      </c>
    </row>
    <row r="460" spans="1:10" x14ac:dyDescent="0.15">
      <c r="A460"/>
      <c r="G460" s="4" t="s">
        <v>468</v>
      </c>
      <c r="I460" s="4" t="str">
        <f t="shared" si="7"/>
        <v>NA21110_hap1_hprc_r2_v1.0.1</v>
      </c>
      <c r="J460" t="b">
        <f>IF(COUNTIF('Sheet 1 - assemblies'!B:B,Sheet2!I460)=1,TRUE,FALSE)</f>
        <v>0</v>
      </c>
    </row>
    <row r="461" spans="1:10" x14ac:dyDescent="0.15">
      <c r="A461"/>
      <c r="G461" s="4" t="s">
        <v>469</v>
      </c>
      <c r="I461" s="4" t="str">
        <f t="shared" si="7"/>
        <v>NA21110_hap2_hprc_r2_v1.0.1</v>
      </c>
      <c r="J461" t="b">
        <f>IF(COUNTIF('Sheet 1 - assemblies'!B:B,Sheet2!I461)=1,TRUE,FALSE)</f>
        <v>0</v>
      </c>
    </row>
    <row r="462" spans="1:10" x14ac:dyDescent="0.15">
      <c r="A462"/>
      <c r="G462" s="4" t="s">
        <v>470</v>
      </c>
      <c r="I462" s="4" t="str">
        <f t="shared" si="7"/>
        <v>NA21144_hap1_hprc_r2_v1.0.1</v>
      </c>
      <c r="J462" t="b">
        <f>IF(COUNTIF('Sheet 1 - assemblies'!B:B,Sheet2!I462)=1,TRUE,FALSE)</f>
        <v>0</v>
      </c>
    </row>
    <row r="463" spans="1:10" x14ac:dyDescent="0.15">
      <c r="A463"/>
      <c r="G463" s="4" t="s">
        <v>471</v>
      </c>
      <c r="I463" s="4" t="str">
        <f t="shared" si="7"/>
        <v>NA21144_hap2_hprc_r2_v1.0.1</v>
      </c>
      <c r="J463" t="b">
        <f>IF(COUNTIF('Sheet 1 - assemblies'!B:B,Sheet2!I463)=1,TRUE,FALSE)</f>
        <v>0</v>
      </c>
    </row>
    <row r="464" spans="1:10" x14ac:dyDescent="0.15">
      <c r="A464"/>
      <c r="G464" s="4" t="s">
        <v>472</v>
      </c>
      <c r="I464" s="4" t="str">
        <f t="shared" si="7"/>
        <v>NA21309_mat_hprc_r2_v1.0.1</v>
      </c>
      <c r="J464" t="b">
        <f>IF(COUNTIF('Sheet 1 - assemblies'!B:B,Sheet2!I464)=1,TRUE,FALSE)</f>
        <v>0</v>
      </c>
    </row>
    <row r="465" spans="1:10" x14ac:dyDescent="0.15">
      <c r="A465"/>
      <c r="G465" s="4" t="s">
        <v>473</v>
      </c>
      <c r="I465" s="4" t="str">
        <f t="shared" si="7"/>
        <v>NA21309_pat_hprc_r2_v1.0.1</v>
      </c>
      <c r="J465" t="b">
        <f>IF(COUNTIF('Sheet 1 - assemblies'!B:B,Sheet2!I465)=1,TRUE,FALSE)</f>
        <v>0</v>
      </c>
    </row>
    <row r="466" spans="1:10" x14ac:dyDescent="0.15">
      <c r="A466"/>
      <c r="G466" s="4" t="s">
        <v>474</v>
      </c>
      <c r="I466" s="4" t="str">
        <f t="shared" si="7"/>
        <v>hg002v1.1.mat_MT.PanSN</v>
      </c>
      <c r="J466" t="b">
        <f>IF(COUNTIF('Sheet 1 - assemblies'!B:B,Sheet2!I466)=1,TRUE,FALSE)</f>
        <v>0</v>
      </c>
    </row>
    <row r="467" spans="1:10" x14ac:dyDescent="0.15">
      <c r="A467"/>
      <c r="G467" s="4" t="s">
        <v>475</v>
      </c>
      <c r="I467" s="4" t="str">
        <f t="shared" si="7"/>
        <v>hg002v1.1.pat.PanSN</v>
      </c>
      <c r="J467" t="b">
        <f>IF(COUNTIF('Sheet 1 - assemblies'!B:B,Sheet2!I467)=1,TRUE,FALSE)</f>
        <v>0</v>
      </c>
    </row>
    <row r="468" spans="1:10" x14ac:dyDescent="0.15">
      <c r="A468"/>
      <c r="G468"/>
    </row>
    <row r="469" spans="1:10" x14ac:dyDescent="0.15">
      <c r="A469"/>
      <c r="G469"/>
    </row>
    <row r="470" spans="1:10" x14ac:dyDescent="0.15">
      <c r="A470"/>
      <c r="G470"/>
    </row>
    <row r="471" spans="1:10" x14ac:dyDescent="0.15">
      <c r="A471"/>
      <c r="G471"/>
    </row>
    <row r="472" spans="1:10" x14ac:dyDescent="0.15">
      <c r="A472"/>
      <c r="G472"/>
    </row>
    <row r="473" spans="1:10" x14ac:dyDescent="0.15">
      <c r="A473"/>
      <c r="G473"/>
    </row>
    <row r="474" spans="1:10" x14ac:dyDescent="0.15">
      <c r="A474"/>
      <c r="G474"/>
    </row>
    <row r="475" spans="1:10" x14ac:dyDescent="0.15">
      <c r="A475"/>
      <c r="G475"/>
    </row>
    <row r="476" spans="1:10" x14ac:dyDescent="0.15">
      <c r="A476"/>
      <c r="G476"/>
    </row>
    <row r="477" spans="1:10" x14ac:dyDescent="0.15">
      <c r="A477"/>
      <c r="G477"/>
    </row>
    <row r="478" spans="1:10" x14ac:dyDescent="0.15">
      <c r="A478"/>
      <c r="G478"/>
    </row>
    <row r="479" spans="1:10" x14ac:dyDescent="0.15">
      <c r="A479"/>
      <c r="G479"/>
    </row>
    <row r="480" spans="1:10" x14ac:dyDescent="0.15">
      <c r="A480"/>
      <c r="G480"/>
    </row>
    <row r="481" spans="1:7" x14ac:dyDescent="0.15">
      <c r="A481"/>
      <c r="G481"/>
    </row>
    <row r="482" spans="1:7" x14ac:dyDescent="0.15">
      <c r="A482"/>
      <c r="G482"/>
    </row>
    <row r="483" spans="1:7" x14ac:dyDescent="0.15">
      <c r="A483"/>
      <c r="G483"/>
    </row>
    <row r="484" spans="1:7" x14ac:dyDescent="0.15">
      <c r="A484"/>
      <c r="G484"/>
    </row>
    <row r="485" spans="1:7" x14ac:dyDescent="0.15">
      <c r="A485"/>
      <c r="G485"/>
    </row>
    <row r="486" spans="1:7" x14ac:dyDescent="0.15">
      <c r="A486"/>
      <c r="G486"/>
    </row>
    <row r="487" spans="1:7" x14ac:dyDescent="0.15">
      <c r="A487"/>
      <c r="G487"/>
    </row>
    <row r="488" spans="1:7" x14ac:dyDescent="0.15">
      <c r="A488"/>
      <c r="G488"/>
    </row>
    <row r="489" spans="1:7" x14ac:dyDescent="0.15">
      <c r="A489"/>
      <c r="G489"/>
    </row>
    <row r="490" spans="1:7" x14ac:dyDescent="0.15">
      <c r="A490"/>
      <c r="G490"/>
    </row>
    <row r="491" spans="1:7" x14ac:dyDescent="0.15">
      <c r="A491"/>
      <c r="G491"/>
    </row>
    <row r="492" spans="1:7" x14ac:dyDescent="0.15">
      <c r="A492"/>
      <c r="G492"/>
    </row>
    <row r="493" spans="1:7" x14ac:dyDescent="0.15">
      <c r="A493"/>
      <c r="G493"/>
    </row>
    <row r="494" spans="1:7" x14ac:dyDescent="0.15">
      <c r="A494"/>
      <c r="G494"/>
    </row>
    <row r="495" spans="1:7" x14ac:dyDescent="0.15">
      <c r="A495"/>
      <c r="G495"/>
    </row>
    <row r="496" spans="1:7" x14ac:dyDescent="0.15">
      <c r="A496"/>
      <c r="G496"/>
    </row>
    <row r="497" spans="1:7" x14ac:dyDescent="0.15">
      <c r="A497"/>
      <c r="G497"/>
    </row>
    <row r="498" spans="1:7" x14ac:dyDescent="0.15">
      <c r="A498"/>
      <c r="G498"/>
    </row>
    <row r="499" spans="1:7" x14ac:dyDescent="0.15">
      <c r="A499"/>
      <c r="G499"/>
    </row>
    <row r="500" spans="1:7" x14ac:dyDescent="0.15">
      <c r="A500"/>
      <c r="G500"/>
    </row>
    <row r="501" spans="1:7" x14ac:dyDescent="0.15">
      <c r="A501"/>
      <c r="G501"/>
    </row>
    <row r="502" spans="1:7" x14ac:dyDescent="0.15">
      <c r="A502"/>
      <c r="G502"/>
    </row>
    <row r="503" spans="1:7" x14ac:dyDescent="0.15">
      <c r="A503"/>
      <c r="G503"/>
    </row>
    <row r="504" spans="1:7" x14ac:dyDescent="0.15">
      <c r="A504"/>
      <c r="G504"/>
    </row>
    <row r="505" spans="1:7" x14ac:dyDescent="0.15">
      <c r="A505"/>
      <c r="G505"/>
    </row>
    <row r="506" spans="1:7" x14ac:dyDescent="0.15">
      <c r="A506"/>
      <c r="G506"/>
    </row>
    <row r="507" spans="1:7" x14ac:dyDescent="0.15">
      <c r="A507"/>
      <c r="G507"/>
    </row>
    <row r="508" spans="1:7" x14ac:dyDescent="0.15">
      <c r="A508"/>
      <c r="G508"/>
    </row>
    <row r="509" spans="1:7" x14ac:dyDescent="0.15">
      <c r="A509"/>
      <c r="G509"/>
    </row>
    <row r="510" spans="1:7" x14ac:dyDescent="0.15">
      <c r="A510"/>
      <c r="G510"/>
    </row>
    <row r="511" spans="1:7" x14ac:dyDescent="0.15">
      <c r="A511"/>
      <c r="G511"/>
    </row>
    <row r="512" spans="1:7" x14ac:dyDescent="0.15">
      <c r="A512"/>
      <c r="G512"/>
    </row>
    <row r="513" spans="1:7" x14ac:dyDescent="0.15">
      <c r="A513"/>
      <c r="G513"/>
    </row>
    <row r="514" spans="1:7" x14ac:dyDescent="0.15">
      <c r="A514"/>
      <c r="G514"/>
    </row>
    <row r="515" spans="1:7" x14ac:dyDescent="0.15">
      <c r="A515"/>
      <c r="G515"/>
    </row>
    <row r="516" spans="1:7" x14ac:dyDescent="0.15">
      <c r="A516"/>
      <c r="G516"/>
    </row>
    <row r="517" spans="1:7" x14ac:dyDescent="0.15">
      <c r="A517"/>
      <c r="G517"/>
    </row>
    <row r="518" spans="1:7" x14ac:dyDescent="0.15">
      <c r="A518"/>
      <c r="G518"/>
    </row>
    <row r="519" spans="1:7" x14ac:dyDescent="0.15">
      <c r="A519"/>
      <c r="G519"/>
    </row>
    <row r="520" spans="1:7" x14ac:dyDescent="0.15">
      <c r="A520"/>
      <c r="G520"/>
    </row>
    <row r="521" spans="1:7" x14ac:dyDescent="0.15">
      <c r="A521"/>
      <c r="G521"/>
    </row>
    <row r="522" spans="1:7" x14ac:dyDescent="0.15">
      <c r="A522"/>
      <c r="G522"/>
    </row>
    <row r="523" spans="1:7" x14ac:dyDescent="0.15">
      <c r="A523"/>
      <c r="G523"/>
    </row>
    <row r="524" spans="1:7" x14ac:dyDescent="0.15">
      <c r="A524"/>
      <c r="G524"/>
    </row>
    <row r="525" spans="1:7" x14ac:dyDescent="0.15">
      <c r="A525"/>
      <c r="G525"/>
    </row>
    <row r="526" spans="1:7" x14ac:dyDescent="0.15">
      <c r="A526"/>
      <c r="G526"/>
    </row>
    <row r="527" spans="1:7" x14ac:dyDescent="0.15">
      <c r="A527"/>
      <c r="G527"/>
    </row>
    <row r="528" spans="1:7" x14ac:dyDescent="0.15">
      <c r="A528"/>
      <c r="G528"/>
    </row>
    <row r="529" spans="1:7" x14ac:dyDescent="0.15">
      <c r="A529"/>
      <c r="G529"/>
    </row>
    <row r="530" spans="1:7" x14ac:dyDescent="0.15">
      <c r="A530"/>
      <c r="G530"/>
    </row>
    <row r="531" spans="1:7" x14ac:dyDescent="0.15">
      <c r="A531"/>
      <c r="G531"/>
    </row>
    <row r="532" spans="1:7" x14ac:dyDescent="0.15">
      <c r="A532"/>
      <c r="G532"/>
    </row>
    <row r="533" spans="1:7" x14ac:dyDescent="0.15">
      <c r="A533"/>
      <c r="G533"/>
    </row>
    <row r="534" spans="1:7" x14ac:dyDescent="0.15">
      <c r="A534"/>
      <c r="G534"/>
    </row>
    <row r="535" spans="1:7" x14ac:dyDescent="0.15">
      <c r="A535"/>
      <c r="G535"/>
    </row>
    <row r="536" spans="1:7" x14ac:dyDescent="0.15">
      <c r="A536"/>
      <c r="G536"/>
    </row>
    <row r="537" spans="1:7" x14ac:dyDescent="0.15">
      <c r="A537"/>
      <c r="G537"/>
    </row>
    <row r="538" spans="1:7" x14ac:dyDescent="0.15">
      <c r="A538"/>
      <c r="G538"/>
    </row>
    <row r="539" spans="1:7" x14ac:dyDescent="0.15">
      <c r="A539"/>
      <c r="G539"/>
    </row>
    <row r="540" spans="1:7" x14ac:dyDescent="0.15">
      <c r="A540"/>
      <c r="G540"/>
    </row>
    <row r="541" spans="1:7" x14ac:dyDescent="0.15">
      <c r="A541"/>
      <c r="G541"/>
    </row>
    <row r="542" spans="1:7" x14ac:dyDescent="0.15">
      <c r="A542"/>
      <c r="G542"/>
    </row>
    <row r="543" spans="1:7" x14ac:dyDescent="0.15">
      <c r="A543"/>
      <c r="G543"/>
    </row>
    <row r="544" spans="1:7" x14ac:dyDescent="0.15">
      <c r="A544"/>
      <c r="G544"/>
    </row>
    <row r="545" spans="1:7" x14ac:dyDescent="0.15">
      <c r="A545"/>
      <c r="G545"/>
    </row>
    <row r="546" spans="1:7" x14ac:dyDescent="0.15">
      <c r="A546"/>
      <c r="G546"/>
    </row>
    <row r="547" spans="1:7" x14ac:dyDescent="0.15">
      <c r="A547"/>
      <c r="G547"/>
    </row>
    <row r="548" spans="1:7" x14ac:dyDescent="0.15">
      <c r="A548"/>
      <c r="G548"/>
    </row>
    <row r="549" spans="1:7" x14ac:dyDescent="0.15">
      <c r="A549"/>
      <c r="G549"/>
    </row>
    <row r="550" spans="1:7" x14ac:dyDescent="0.15">
      <c r="A550"/>
      <c r="G550"/>
    </row>
    <row r="551" spans="1:7" x14ac:dyDescent="0.15">
      <c r="A551"/>
      <c r="G551"/>
    </row>
    <row r="552" spans="1:7" x14ac:dyDescent="0.15">
      <c r="A552"/>
      <c r="G552"/>
    </row>
    <row r="553" spans="1:7" x14ac:dyDescent="0.15">
      <c r="A553"/>
      <c r="G553"/>
    </row>
    <row r="554" spans="1:7" x14ac:dyDescent="0.15">
      <c r="A554"/>
      <c r="G554"/>
    </row>
    <row r="555" spans="1:7" x14ac:dyDescent="0.15">
      <c r="A555"/>
      <c r="G555"/>
    </row>
    <row r="556" spans="1:7" x14ac:dyDescent="0.15">
      <c r="A556"/>
      <c r="G556"/>
    </row>
    <row r="557" spans="1:7" x14ac:dyDescent="0.15">
      <c r="A557"/>
      <c r="G557"/>
    </row>
    <row r="558" spans="1:7" x14ac:dyDescent="0.15">
      <c r="A558"/>
      <c r="G558"/>
    </row>
    <row r="559" spans="1:7" x14ac:dyDescent="0.15">
      <c r="A559"/>
      <c r="G559"/>
    </row>
    <row r="560" spans="1:7" x14ac:dyDescent="0.15">
      <c r="A560"/>
      <c r="G560"/>
    </row>
    <row r="561" spans="1:7" x14ac:dyDescent="0.15">
      <c r="A561"/>
      <c r="G561"/>
    </row>
    <row r="562" spans="1:7" x14ac:dyDescent="0.15">
      <c r="G562"/>
    </row>
    <row r="563" spans="1:7" x14ac:dyDescent="0.15">
      <c r="G563"/>
    </row>
    <row r="564" spans="1:7" x14ac:dyDescent="0.15">
      <c r="G564"/>
    </row>
    <row r="565" spans="1:7" x14ac:dyDescent="0.15">
      <c r="G565"/>
    </row>
    <row r="566" spans="1:7" x14ac:dyDescent="0.15">
      <c r="G566"/>
    </row>
    <row r="567" spans="1:7" x14ac:dyDescent="0.15">
      <c r="G567"/>
    </row>
    <row r="568" spans="1:7" x14ac:dyDescent="0.15">
      <c r="G568"/>
    </row>
    <row r="569" spans="1:7" x14ac:dyDescent="0.15">
      <c r="G569"/>
    </row>
    <row r="570" spans="1:7" x14ac:dyDescent="0.15">
      <c r="G570"/>
    </row>
    <row r="571" spans="1:7" x14ac:dyDescent="0.15">
      <c r="G571"/>
    </row>
    <row r="572" spans="1:7" x14ac:dyDescent="0.15">
      <c r="G572"/>
    </row>
    <row r="573" spans="1:7" x14ac:dyDescent="0.15">
      <c r="G573"/>
    </row>
    <row r="574" spans="1:7" x14ac:dyDescent="0.15">
      <c r="G574"/>
    </row>
    <row r="575" spans="1:7" x14ac:dyDescent="0.15">
      <c r="G575"/>
    </row>
    <row r="576" spans="1:7" x14ac:dyDescent="0.15">
      <c r="G576"/>
    </row>
    <row r="577" spans="7:7" x14ac:dyDescent="0.15">
      <c r="G577"/>
    </row>
    <row r="578" spans="7:7" x14ac:dyDescent="0.15">
      <c r="G578"/>
    </row>
    <row r="579" spans="7:7" x14ac:dyDescent="0.15">
      <c r="G579"/>
    </row>
    <row r="580" spans="7:7" x14ac:dyDescent="0.15">
      <c r="G580"/>
    </row>
    <row r="581" spans="7:7" x14ac:dyDescent="0.15">
      <c r="G581"/>
    </row>
    <row r="582" spans="7:7" x14ac:dyDescent="0.15">
      <c r="G582"/>
    </row>
    <row r="583" spans="7:7" x14ac:dyDescent="0.15">
      <c r="G583"/>
    </row>
    <row r="584" spans="7:7" x14ac:dyDescent="0.15">
      <c r="G584"/>
    </row>
    <row r="585" spans="7:7" x14ac:dyDescent="0.15">
      <c r="G585"/>
    </row>
    <row r="586" spans="7:7" x14ac:dyDescent="0.15">
      <c r="G586"/>
    </row>
    <row r="587" spans="7:7" x14ac:dyDescent="0.15">
      <c r="G587"/>
    </row>
    <row r="588" spans="7:7" x14ac:dyDescent="0.15">
      <c r="G588"/>
    </row>
    <row r="589" spans="7:7" x14ac:dyDescent="0.15">
      <c r="G589"/>
    </row>
    <row r="590" spans="7:7" x14ac:dyDescent="0.15">
      <c r="G590"/>
    </row>
    <row r="591" spans="7:7" x14ac:dyDescent="0.15">
      <c r="G591"/>
    </row>
    <row r="592" spans="7:7" x14ac:dyDescent="0.15">
      <c r="G592"/>
    </row>
    <row r="593" spans="7:7" x14ac:dyDescent="0.15">
      <c r="G593"/>
    </row>
    <row r="594" spans="7:7" x14ac:dyDescent="0.15">
      <c r="G594"/>
    </row>
    <row r="595" spans="7:7" x14ac:dyDescent="0.15">
      <c r="G595"/>
    </row>
    <row r="596" spans="7:7" x14ac:dyDescent="0.15">
      <c r="G596"/>
    </row>
    <row r="597" spans="7:7" x14ac:dyDescent="0.15">
      <c r="G597"/>
    </row>
    <row r="598" spans="7:7" x14ac:dyDescent="0.15">
      <c r="G598"/>
    </row>
    <row r="599" spans="7:7" x14ac:dyDescent="0.15">
      <c r="G599"/>
    </row>
    <row r="600" spans="7:7" x14ac:dyDescent="0.15">
      <c r="G600"/>
    </row>
    <row r="601" spans="7:7" x14ac:dyDescent="0.15">
      <c r="G601"/>
    </row>
    <row r="602" spans="7:7" x14ac:dyDescent="0.15">
      <c r="G602"/>
    </row>
    <row r="603" spans="7:7" x14ac:dyDescent="0.15">
      <c r="G603"/>
    </row>
    <row r="604" spans="7:7" x14ac:dyDescent="0.15">
      <c r="G604"/>
    </row>
    <row r="605" spans="7:7" x14ac:dyDescent="0.15">
      <c r="G605"/>
    </row>
    <row r="606" spans="7:7" x14ac:dyDescent="0.15">
      <c r="G606"/>
    </row>
    <row r="607" spans="7:7" x14ac:dyDescent="0.15">
      <c r="G607"/>
    </row>
    <row r="608" spans="7:7" x14ac:dyDescent="0.15">
      <c r="G608"/>
    </row>
    <row r="609" spans="7:7" x14ac:dyDescent="0.15">
      <c r="G609"/>
    </row>
    <row r="610" spans="7:7" x14ac:dyDescent="0.15">
      <c r="G610"/>
    </row>
    <row r="611" spans="7:7" x14ac:dyDescent="0.15">
      <c r="G611"/>
    </row>
    <row r="612" spans="7:7" x14ac:dyDescent="0.15">
      <c r="G612"/>
    </row>
    <row r="613" spans="7:7" x14ac:dyDescent="0.15">
      <c r="G613"/>
    </row>
    <row r="614" spans="7:7" x14ac:dyDescent="0.15">
      <c r="G614"/>
    </row>
    <row r="615" spans="7:7" x14ac:dyDescent="0.15">
      <c r="G615"/>
    </row>
    <row r="616" spans="7:7" x14ac:dyDescent="0.15">
      <c r="G616"/>
    </row>
    <row r="617" spans="7:7" x14ac:dyDescent="0.15">
      <c r="G617"/>
    </row>
    <row r="618" spans="7:7" x14ac:dyDescent="0.15">
      <c r="G618"/>
    </row>
    <row r="619" spans="7:7" x14ac:dyDescent="0.15">
      <c r="G619"/>
    </row>
    <row r="620" spans="7:7" x14ac:dyDescent="0.15">
      <c r="G620"/>
    </row>
    <row r="621" spans="7:7" x14ac:dyDescent="0.15">
      <c r="G621"/>
    </row>
    <row r="622" spans="7:7" x14ac:dyDescent="0.15">
      <c r="G622"/>
    </row>
    <row r="623" spans="7:7" x14ac:dyDescent="0.15">
      <c r="G623"/>
    </row>
    <row r="624" spans="7:7" x14ac:dyDescent="0.15">
      <c r="G624"/>
    </row>
    <row r="625" spans="7:7" x14ac:dyDescent="0.15">
      <c r="G625"/>
    </row>
    <row r="626" spans="7:7" x14ac:dyDescent="0.15">
      <c r="G626"/>
    </row>
    <row r="627" spans="7:7" x14ac:dyDescent="0.15">
      <c r="G627"/>
    </row>
    <row r="628" spans="7:7" x14ac:dyDescent="0.15">
      <c r="G628"/>
    </row>
    <row r="629" spans="7:7" x14ac:dyDescent="0.15">
      <c r="G629"/>
    </row>
    <row r="630" spans="7:7" x14ac:dyDescent="0.15">
      <c r="G630"/>
    </row>
    <row r="631" spans="7:7" x14ac:dyDescent="0.15">
      <c r="G631"/>
    </row>
    <row r="632" spans="7:7" x14ac:dyDescent="0.15">
      <c r="G632"/>
    </row>
    <row r="633" spans="7:7" x14ac:dyDescent="0.15">
      <c r="G633"/>
    </row>
    <row r="634" spans="7:7" x14ac:dyDescent="0.15">
      <c r="G634"/>
    </row>
    <row r="635" spans="7:7" x14ac:dyDescent="0.15">
      <c r="G635"/>
    </row>
    <row r="636" spans="7:7" x14ac:dyDescent="0.15">
      <c r="G636"/>
    </row>
    <row r="637" spans="7:7" x14ac:dyDescent="0.15">
      <c r="G637"/>
    </row>
    <row r="638" spans="7:7" x14ac:dyDescent="0.15">
      <c r="G638"/>
    </row>
    <row r="639" spans="7:7" x14ac:dyDescent="0.15">
      <c r="G639"/>
    </row>
    <row r="640" spans="7:7" x14ac:dyDescent="0.15">
      <c r="G640"/>
    </row>
    <row r="641" spans="7:7" x14ac:dyDescent="0.15">
      <c r="G641"/>
    </row>
    <row r="642" spans="7:7" x14ac:dyDescent="0.15">
      <c r="G642"/>
    </row>
    <row r="643" spans="7:7" x14ac:dyDescent="0.15">
      <c r="G643"/>
    </row>
    <row r="644" spans="7:7" x14ac:dyDescent="0.15">
      <c r="G644"/>
    </row>
    <row r="645" spans="7:7" x14ac:dyDescent="0.15">
      <c r="G645"/>
    </row>
    <row r="646" spans="7:7" x14ac:dyDescent="0.15">
      <c r="G646"/>
    </row>
    <row r="647" spans="7:7" x14ac:dyDescent="0.15">
      <c r="G647"/>
    </row>
    <row r="648" spans="7:7" x14ac:dyDescent="0.15">
      <c r="G648"/>
    </row>
    <row r="649" spans="7:7" x14ac:dyDescent="0.15">
      <c r="G649"/>
    </row>
    <row r="650" spans="7:7" x14ac:dyDescent="0.15">
      <c r="G650"/>
    </row>
    <row r="651" spans="7:7" x14ac:dyDescent="0.15">
      <c r="G651"/>
    </row>
    <row r="652" spans="7:7" x14ac:dyDescent="0.15">
      <c r="G652"/>
    </row>
    <row r="653" spans="7:7" x14ac:dyDescent="0.15">
      <c r="G653"/>
    </row>
    <row r="654" spans="7:7" x14ac:dyDescent="0.15">
      <c r="G654"/>
    </row>
    <row r="655" spans="7:7" x14ac:dyDescent="0.15">
      <c r="G655"/>
    </row>
    <row r="656" spans="7:7" x14ac:dyDescent="0.15">
      <c r="G656"/>
    </row>
    <row r="657" spans="7:7" x14ac:dyDescent="0.15">
      <c r="G657"/>
    </row>
    <row r="658" spans="7:7" x14ac:dyDescent="0.15">
      <c r="G658"/>
    </row>
    <row r="659" spans="7:7" x14ac:dyDescent="0.15">
      <c r="G659"/>
    </row>
    <row r="660" spans="7:7" x14ac:dyDescent="0.15">
      <c r="G660"/>
    </row>
    <row r="661" spans="7:7" x14ac:dyDescent="0.15">
      <c r="G661"/>
    </row>
    <row r="662" spans="7:7" x14ac:dyDescent="0.15">
      <c r="G662"/>
    </row>
    <row r="663" spans="7:7" x14ac:dyDescent="0.15">
      <c r="G663"/>
    </row>
    <row r="664" spans="7:7" x14ac:dyDescent="0.15">
      <c r="G664"/>
    </row>
    <row r="665" spans="7:7" x14ac:dyDescent="0.15">
      <c r="G665"/>
    </row>
    <row r="666" spans="7:7" x14ac:dyDescent="0.15">
      <c r="G666"/>
    </row>
    <row r="667" spans="7:7" x14ac:dyDescent="0.15">
      <c r="G667"/>
    </row>
    <row r="668" spans="7:7" x14ac:dyDescent="0.15">
      <c r="G668"/>
    </row>
    <row r="669" spans="7:7" x14ac:dyDescent="0.15">
      <c r="G669"/>
    </row>
    <row r="670" spans="7:7" x14ac:dyDescent="0.15">
      <c r="G670"/>
    </row>
    <row r="671" spans="7:7" x14ac:dyDescent="0.15">
      <c r="G671"/>
    </row>
    <row r="672" spans="7:7" x14ac:dyDescent="0.15">
      <c r="G672"/>
    </row>
    <row r="673" spans="7:7" x14ac:dyDescent="0.15">
      <c r="G673"/>
    </row>
    <row r="674" spans="7:7" x14ac:dyDescent="0.15">
      <c r="G674"/>
    </row>
    <row r="675" spans="7:7" x14ac:dyDescent="0.15">
      <c r="G675"/>
    </row>
    <row r="676" spans="7:7" x14ac:dyDescent="0.15">
      <c r="G676"/>
    </row>
    <row r="677" spans="7:7" x14ac:dyDescent="0.15">
      <c r="G677"/>
    </row>
    <row r="678" spans="7:7" x14ac:dyDescent="0.15">
      <c r="G678"/>
    </row>
    <row r="679" spans="7:7" x14ac:dyDescent="0.15">
      <c r="G679"/>
    </row>
    <row r="680" spans="7:7" x14ac:dyDescent="0.15">
      <c r="G680"/>
    </row>
    <row r="681" spans="7:7" x14ac:dyDescent="0.15">
      <c r="G681"/>
    </row>
    <row r="682" spans="7:7" x14ac:dyDescent="0.15">
      <c r="G682"/>
    </row>
    <row r="683" spans="7:7" x14ac:dyDescent="0.15">
      <c r="G683"/>
    </row>
    <row r="684" spans="7:7" x14ac:dyDescent="0.15">
      <c r="G684"/>
    </row>
    <row r="685" spans="7:7" x14ac:dyDescent="0.15">
      <c r="G685"/>
    </row>
    <row r="686" spans="7:7" x14ac:dyDescent="0.15">
      <c r="G686"/>
    </row>
    <row r="687" spans="7:7" x14ac:dyDescent="0.15">
      <c r="G687"/>
    </row>
    <row r="688" spans="7:7" x14ac:dyDescent="0.15">
      <c r="G688"/>
    </row>
    <row r="689" spans="7:7" x14ac:dyDescent="0.15">
      <c r="G689"/>
    </row>
    <row r="690" spans="7:7" x14ac:dyDescent="0.15">
      <c r="G690"/>
    </row>
    <row r="691" spans="7:7" x14ac:dyDescent="0.15">
      <c r="G691"/>
    </row>
    <row r="692" spans="7:7" x14ac:dyDescent="0.15">
      <c r="G692"/>
    </row>
    <row r="693" spans="7:7" x14ac:dyDescent="0.15">
      <c r="G693"/>
    </row>
    <row r="694" spans="7:7" x14ac:dyDescent="0.15">
      <c r="G694"/>
    </row>
    <row r="695" spans="7:7" x14ac:dyDescent="0.15">
      <c r="G695"/>
    </row>
    <row r="696" spans="7:7" x14ac:dyDescent="0.15">
      <c r="G696"/>
    </row>
    <row r="697" spans="7:7" x14ac:dyDescent="0.15">
      <c r="G697"/>
    </row>
    <row r="698" spans="7:7" x14ac:dyDescent="0.15">
      <c r="G698"/>
    </row>
    <row r="699" spans="7:7" x14ac:dyDescent="0.15">
      <c r="G699"/>
    </row>
    <row r="700" spans="7:7" x14ac:dyDescent="0.15">
      <c r="G700"/>
    </row>
    <row r="701" spans="7:7" x14ac:dyDescent="0.15">
      <c r="G701"/>
    </row>
    <row r="702" spans="7:7" x14ac:dyDescent="0.15">
      <c r="G702"/>
    </row>
    <row r="703" spans="7:7" x14ac:dyDescent="0.15">
      <c r="G703"/>
    </row>
    <row r="704" spans="7:7" x14ac:dyDescent="0.15">
      <c r="G704"/>
    </row>
    <row r="705" spans="7:7" x14ac:dyDescent="0.15">
      <c r="G705"/>
    </row>
    <row r="706" spans="7:7" x14ac:dyDescent="0.15">
      <c r="G706"/>
    </row>
    <row r="707" spans="7:7" x14ac:dyDescent="0.15">
      <c r="G707"/>
    </row>
    <row r="708" spans="7:7" x14ac:dyDescent="0.15">
      <c r="G708"/>
    </row>
    <row r="709" spans="7:7" x14ac:dyDescent="0.15">
      <c r="G709"/>
    </row>
    <row r="710" spans="7:7" x14ac:dyDescent="0.15">
      <c r="G710"/>
    </row>
    <row r="711" spans="7:7" x14ac:dyDescent="0.15">
      <c r="G711"/>
    </row>
    <row r="712" spans="7:7" x14ac:dyDescent="0.15">
      <c r="G712"/>
    </row>
    <row r="713" spans="7:7" x14ac:dyDescent="0.15">
      <c r="G713"/>
    </row>
    <row r="714" spans="7:7" x14ac:dyDescent="0.15">
      <c r="G714"/>
    </row>
    <row r="715" spans="7:7" x14ac:dyDescent="0.15">
      <c r="G715"/>
    </row>
    <row r="716" spans="7:7" x14ac:dyDescent="0.15">
      <c r="G716"/>
    </row>
    <row r="717" spans="7:7" x14ac:dyDescent="0.15">
      <c r="G717"/>
    </row>
    <row r="718" spans="7:7" x14ac:dyDescent="0.15">
      <c r="G718"/>
    </row>
    <row r="719" spans="7:7" x14ac:dyDescent="0.15">
      <c r="G719"/>
    </row>
    <row r="720" spans="7:7" x14ac:dyDescent="0.15">
      <c r="G720"/>
    </row>
    <row r="721" spans="7:7" x14ac:dyDescent="0.15">
      <c r="G721"/>
    </row>
    <row r="722" spans="7:7" x14ac:dyDescent="0.15">
      <c r="G722"/>
    </row>
    <row r="723" spans="7:7" x14ac:dyDescent="0.15">
      <c r="G723"/>
    </row>
    <row r="724" spans="7:7" x14ac:dyDescent="0.15">
      <c r="G724"/>
    </row>
    <row r="725" spans="7:7" x14ac:dyDescent="0.15">
      <c r="G725"/>
    </row>
    <row r="726" spans="7:7" x14ac:dyDescent="0.15">
      <c r="G726"/>
    </row>
    <row r="727" spans="7:7" x14ac:dyDescent="0.15">
      <c r="G727"/>
    </row>
    <row r="728" spans="7:7" x14ac:dyDescent="0.15">
      <c r="G728"/>
    </row>
    <row r="729" spans="7:7" x14ac:dyDescent="0.15">
      <c r="G729"/>
    </row>
    <row r="730" spans="7:7" x14ac:dyDescent="0.15">
      <c r="G730"/>
    </row>
    <row r="731" spans="7:7" x14ac:dyDescent="0.15">
      <c r="G731"/>
    </row>
    <row r="732" spans="7:7" x14ac:dyDescent="0.15">
      <c r="G732"/>
    </row>
    <row r="733" spans="7:7" x14ac:dyDescent="0.15">
      <c r="G733"/>
    </row>
    <row r="734" spans="7:7" x14ac:dyDescent="0.15">
      <c r="G734"/>
    </row>
    <row r="735" spans="7:7" x14ac:dyDescent="0.15">
      <c r="G735"/>
    </row>
    <row r="736" spans="7:7" x14ac:dyDescent="0.15">
      <c r="G736"/>
    </row>
    <row r="737" spans="7:7" x14ac:dyDescent="0.15">
      <c r="G737"/>
    </row>
    <row r="738" spans="7:7" x14ac:dyDescent="0.15">
      <c r="G738"/>
    </row>
    <row r="739" spans="7:7" x14ac:dyDescent="0.15">
      <c r="G739"/>
    </row>
    <row r="740" spans="7:7" x14ac:dyDescent="0.15">
      <c r="G740"/>
    </row>
    <row r="741" spans="7:7" x14ac:dyDescent="0.15">
      <c r="G741"/>
    </row>
    <row r="742" spans="7:7" x14ac:dyDescent="0.15">
      <c r="G742"/>
    </row>
    <row r="743" spans="7:7" x14ac:dyDescent="0.15">
      <c r="G743"/>
    </row>
    <row r="744" spans="7:7" x14ac:dyDescent="0.15">
      <c r="G744"/>
    </row>
    <row r="745" spans="7:7" x14ac:dyDescent="0.15">
      <c r="G745"/>
    </row>
    <row r="746" spans="7:7" x14ac:dyDescent="0.15">
      <c r="G746"/>
    </row>
    <row r="747" spans="7:7" x14ac:dyDescent="0.15">
      <c r="G747"/>
    </row>
    <row r="748" spans="7:7" x14ac:dyDescent="0.15">
      <c r="G748"/>
    </row>
    <row r="749" spans="7:7" x14ac:dyDescent="0.15">
      <c r="G749"/>
    </row>
    <row r="750" spans="7:7" x14ac:dyDescent="0.15">
      <c r="G750"/>
    </row>
    <row r="751" spans="7:7" x14ac:dyDescent="0.15">
      <c r="G751"/>
    </row>
    <row r="752" spans="7:7" x14ac:dyDescent="0.15">
      <c r="G752"/>
    </row>
    <row r="753" spans="7:7" x14ac:dyDescent="0.15">
      <c r="G753"/>
    </row>
    <row r="754" spans="7:7" x14ac:dyDescent="0.15">
      <c r="G754"/>
    </row>
    <row r="755" spans="7:7" x14ac:dyDescent="0.15">
      <c r="G755"/>
    </row>
    <row r="756" spans="7:7" x14ac:dyDescent="0.15">
      <c r="G756"/>
    </row>
    <row r="757" spans="7:7" x14ac:dyDescent="0.15">
      <c r="G757"/>
    </row>
    <row r="758" spans="7:7" x14ac:dyDescent="0.15">
      <c r="G758"/>
    </row>
    <row r="759" spans="7:7" x14ac:dyDescent="0.15">
      <c r="G759"/>
    </row>
    <row r="760" spans="7:7" x14ac:dyDescent="0.15">
      <c r="G760"/>
    </row>
    <row r="761" spans="7:7" x14ac:dyDescent="0.15">
      <c r="G761"/>
    </row>
    <row r="762" spans="7:7" x14ac:dyDescent="0.15">
      <c r="G762"/>
    </row>
    <row r="763" spans="7:7" x14ac:dyDescent="0.15">
      <c r="G763"/>
    </row>
    <row r="764" spans="7:7" x14ac:dyDescent="0.15">
      <c r="G764"/>
    </row>
    <row r="765" spans="7:7" x14ac:dyDescent="0.15">
      <c r="G765"/>
    </row>
    <row r="766" spans="7:7" x14ac:dyDescent="0.15">
      <c r="G766"/>
    </row>
    <row r="767" spans="7:7" x14ac:dyDescent="0.15">
      <c r="G767"/>
    </row>
    <row r="768" spans="7:7" x14ac:dyDescent="0.15">
      <c r="G768"/>
    </row>
    <row r="769" spans="7:7" x14ac:dyDescent="0.15">
      <c r="G769"/>
    </row>
    <row r="770" spans="7:7" x14ac:dyDescent="0.15">
      <c r="G770"/>
    </row>
    <row r="771" spans="7:7" x14ac:dyDescent="0.15">
      <c r="G771"/>
    </row>
    <row r="772" spans="7:7" x14ac:dyDescent="0.15">
      <c r="G772"/>
    </row>
    <row r="773" spans="7:7" x14ac:dyDescent="0.15">
      <c r="G773"/>
    </row>
    <row r="774" spans="7:7" x14ac:dyDescent="0.15">
      <c r="G774"/>
    </row>
    <row r="775" spans="7:7" x14ac:dyDescent="0.15">
      <c r="G775"/>
    </row>
    <row r="776" spans="7:7" x14ac:dyDescent="0.15">
      <c r="G776"/>
    </row>
    <row r="777" spans="7:7" x14ac:dyDescent="0.15">
      <c r="G777"/>
    </row>
    <row r="778" spans="7:7" x14ac:dyDescent="0.15">
      <c r="G778"/>
    </row>
    <row r="779" spans="7:7" x14ac:dyDescent="0.15">
      <c r="G779"/>
    </row>
    <row r="780" spans="7:7" x14ac:dyDescent="0.15">
      <c r="G780"/>
    </row>
    <row r="781" spans="7:7" x14ac:dyDescent="0.15">
      <c r="G781"/>
    </row>
    <row r="782" spans="7:7" x14ac:dyDescent="0.15">
      <c r="G782"/>
    </row>
    <row r="783" spans="7:7" x14ac:dyDescent="0.15">
      <c r="G783"/>
    </row>
    <row r="784" spans="7:7" x14ac:dyDescent="0.15">
      <c r="G784"/>
    </row>
    <row r="785" spans="7:7" x14ac:dyDescent="0.15">
      <c r="G785"/>
    </row>
    <row r="786" spans="7:7" x14ac:dyDescent="0.15">
      <c r="G786"/>
    </row>
    <row r="787" spans="7:7" x14ac:dyDescent="0.15">
      <c r="G787"/>
    </row>
    <row r="788" spans="7:7" x14ac:dyDescent="0.15">
      <c r="G788"/>
    </row>
    <row r="789" spans="7:7" x14ac:dyDescent="0.15">
      <c r="G789"/>
    </row>
    <row r="790" spans="7:7" x14ac:dyDescent="0.15">
      <c r="G790"/>
    </row>
    <row r="791" spans="7:7" x14ac:dyDescent="0.15">
      <c r="G791"/>
    </row>
    <row r="792" spans="7:7" x14ac:dyDescent="0.15">
      <c r="G792"/>
    </row>
    <row r="793" spans="7:7" x14ac:dyDescent="0.15">
      <c r="G793"/>
    </row>
    <row r="794" spans="7:7" x14ac:dyDescent="0.15">
      <c r="G794"/>
    </row>
    <row r="795" spans="7:7" x14ac:dyDescent="0.15">
      <c r="G795"/>
    </row>
    <row r="796" spans="7:7" x14ac:dyDescent="0.15">
      <c r="G796"/>
    </row>
    <row r="797" spans="7:7" x14ac:dyDescent="0.15">
      <c r="G797"/>
    </row>
    <row r="798" spans="7:7" x14ac:dyDescent="0.15">
      <c r="G798"/>
    </row>
    <row r="799" spans="7:7" x14ac:dyDescent="0.15">
      <c r="G799"/>
    </row>
    <row r="800" spans="7:7" x14ac:dyDescent="0.15">
      <c r="G800"/>
    </row>
    <row r="801" spans="7:7" x14ac:dyDescent="0.15">
      <c r="G801"/>
    </row>
    <row r="802" spans="7:7" x14ac:dyDescent="0.15">
      <c r="G802"/>
    </row>
    <row r="803" spans="7:7" x14ac:dyDescent="0.15">
      <c r="G803"/>
    </row>
    <row r="804" spans="7:7" x14ac:dyDescent="0.15">
      <c r="G804"/>
    </row>
    <row r="805" spans="7:7" x14ac:dyDescent="0.15">
      <c r="G805"/>
    </row>
    <row r="806" spans="7:7" x14ac:dyDescent="0.15">
      <c r="G806"/>
    </row>
    <row r="807" spans="7:7" x14ac:dyDescent="0.15">
      <c r="G807"/>
    </row>
    <row r="808" spans="7:7" x14ac:dyDescent="0.15">
      <c r="G808"/>
    </row>
    <row r="809" spans="7:7" x14ac:dyDescent="0.15">
      <c r="G809"/>
    </row>
    <row r="810" spans="7:7" x14ac:dyDescent="0.15">
      <c r="G810"/>
    </row>
    <row r="811" spans="7:7" x14ac:dyDescent="0.15">
      <c r="G811"/>
    </row>
    <row r="812" spans="7:7" x14ac:dyDescent="0.15">
      <c r="G812"/>
    </row>
    <row r="813" spans="7:7" x14ac:dyDescent="0.15">
      <c r="G813"/>
    </row>
    <row r="814" spans="7:7" x14ac:dyDescent="0.15">
      <c r="G814"/>
    </row>
    <row r="815" spans="7:7" x14ac:dyDescent="0.15">
      <c r="G815"/>
    </row>
    <row r="816" spans="7:7" x14ac:dyDescent="0.15">
      <c r="G816"/>
    </row>
    <row r="817" spans="7:7" x14ac:dyDescent="0.15">
      <c r="G817"/>
    </row>
    <row r="818" spans="7:7" x14ac:dyDescent="0.15">
      <c r="G818"/>
    </row>
    <row r="819" spans="7:7" x14ac:dyDescent="0.15">
      <c r="G819"/>
    </row>
    <row r="820" spans="7:7" x14ac:dyDescent="0.15">
      <c r="G820"/>
    </row>
    <row r="821" spans="7:7" x14ac:dyDescent="0.15">
      <c r="G821"/>
    </row>
    <row r="822" spans="7:7" x14ac:dyDescent="0.15">
      <c r="G822"/>
    </row>
    <row r="823" spans="7:7" x14ac:dyDescent="0.15">
      <c r="G823"/>
    </row>
    <row r="824" spans="7:7" x14ac:dyDescent="0.15">
      <c r="G824"/>
    </row>
    <row r="825" spans="7:7" x14ac:dyDescent="0.15">
      <c r="G825"/>
    </row>
    <row r="826" spans="7:7" x14ac:dyDescent="0.15">
      <c r="G826"/>
    </row>
    <row r="827" spans="7:7" x14ac:dyDescent="0.15">
      <c r="G827"/>
    </row>
    <row r="828" spans="7:7" x14ac:dyDescent="0.15">
      <c r="G828"/>
    </row>
    <row r="829" spans="7:7" x14ac:dyDescent="0.15">
      <c r="G829"/>
    </row>
    <row r="830" spans="7:7" x14ac:dyDescent="0.15">
      <c r="G830"/>
    </row>
    <row r="831" spans="7:7" x14ac:dyDescent="0.15">
      <c r="G831"/>
    </row>
    <row r="832" spans="7:7" x14ac:dyDescent="0.15">
      <c r="G832"/>
    </row>
    <row r="833" spans="7:7" x14ac:dyDescent="0.15">
      <c r="G833"/>
    </row>
    <row r="834" spans="7:7" x14ac:dyDescent="0.15">
      <c r="G834"/>
    </row>
    <row r="835" spans="7:7" x14ac:dyDescent="0.15">
      <c r="G835"/>
    </row>
    <row r="836" spans="7:7" x14ac:dyDescent="0.15">
      <c r="G836"/>
    </row>
    <row r="837" spans="7:7" x14ac:dyDescent="0.15">
      <c r="G837"/>
    </row>
    <row r="838" spans="7:7" x14ac:dyDescent="0.15">
      <c r="G838"/>
    </row>
    <row r="839" spans="7:7" x14ac:dyDescent="0.15">
      <c r="G839"/>
    </row>
    <row r="840" spans="7:7" x14ac:dyDescent="0.15">
      <c r="G840"/>
    </row>
    <row r="841" spans="7:7" x14ac:dyDescent="0.15">
      <c r="G841"/>
    </row>
    <row r="842" spans="7:7" x14ac:dyDescent="0.15">
      <c r="G842"/>
    </row>
    <row r="843" spans="7:7" x14ac:dyDescent="0.15">
      <c r="G843"/>
    </row>
    <row r="844" spans="7:7" x14ac:dyDescent="0.15">
      <c r="G844"/>
    </row>
    <row r="845" spans="7:7" x14ac:dyDescent="0.15">
      <c r="G845"/>
    </row>
    <row r="846" spans="7:7" x14ac:dyDescent="0.15">
      <c r="G846"/>
    </row>
    <row r="847" spans="7:7" x14ac:dyDescent="0.15">
      <c r="G847"/>
    </row>
    <row r="848" spans="7:7" x14ac:dyDescent="0.15">
      <c r="G848"/>
    </row>
    <row r="849" spans="7:7" x14ac:dyDescent="0.15">
      <c r="G849"/>
    </row>
    <row r="850" spans="7:7" x14ac:dyDescent="0.15">
      <c r="G850"/>
    </row>
    <row r="851" spans="7:7" x14ac:dyDescent="0.15">
      <c r="G851"/>
    </row>
    <row r="852" spans="7:7" x14ac:dyDescent="0.15">
      <c r="G852"/>
    </row>
    <row r="853" spans="7:7" x14ac:dyDescent="0.15">
      <c r="G853"/>
    </row>
    <row r="854" spans="7:7" x14ac:dyDescent="0.15">
      <c r="G854"/>
    </row>
    <row r="855" spans="7:7" x14ac:dyDescent="0.15">
      <c r="G855"/>
    </row>
    <row r="856" spans="7:7" x14ac:dyDescent="0.15">
      <c r="G856"/>
    </row>
    <row r="857" spans="7:7" x14ac:dyDescent="0.15">
      <c r="G857"/>
    </row>
    <row r="858" spans="7:7" x14ac:dyDescent="0.15">
      <c r="G858"/>
    </row>
    <row r="859" spans="7:7" x14ac:dyDescent="0.15">
      <c r="G859"/>
    </row>
    <row r="860" spans="7:7" x14ac:dyDescent="0.15">
      <c r="G860"/>
    </row>
    <row r="861" spans="7:7" x14ac:dyDescent="0.15">
      <c r="G861"/>
    </row>
    <row r="862" spans="7:7" x14ac:dyDescent="0.15">
      <c r="G862"/>
    </row>
    <row r="863" spans="7:7" x14ac:dyDescent="0.15">
      <c r="G863"/>
    </row>
    <row r="864" spans="7:7" x14ac:dyDescent="0.15">
      <c r="G864"/>
    </row>
    <row r="865" spans="7:7" x14ac:dyDescent="0.15">
      <c r="G865"/>
    </row>
    <row r="866" spans="7:7" x14ac:dyDescent="0.15">
      <c r="G866"/>
    </row>
    <row r="867" spans="7:7" x14ac:dyDescent="0.15">
      <c r="G867"/>
    </row>
    <row r="868" spans="7:7" x14ac:dyDescent="0.15">
      <c r="G868"/>
    </row>
    <row r="869" spans="7:7" x14ac:dyDescent="0.15">
      <c r="G869"/>
    </row>
    <row r="870" spans="7:7" x14ac:dyDescent="0.15">
      <c r="G870"/>
    </row>
    <row r="871" spans="7:7" x14ac:dyDescent="0.15">
      <c r="G871"/>
    </row>
    <row r="872" spans="7:7" x14ac:dyDescent="0.15">
      <c r="G872"/>
    </row>
    <row r="873" spans="7:7" x14ac:dyDescent="0.15">
      <c r="G873"/>
    </row>
    <row r="874" spans="7:7" x14ac:dyDescent="0.15">
      <c r="G874"/>
    </row>
    <row r="875" spans="7:7" x14ac:dyDescent="0.15">
      <c r="G875"/>
    </row>
    <row r="876" spans="7:7" x14ac:dyDescent="0.15">
      <c r="G876"/>
    </row>
    <row r="877" spans="7:7" x14ac:dyDescent="0.15">
      <c r="G877"/>
    </row>
    <row r="878" spans="7:7" x14ac:dyDescent="0.15">
      <c r="G878"/>
    </row>
    <row r="879" spans="7:7" x14ac:dyDescent="0.15">
      <c r="G879"/>
    </row>
    <row r="880" spans="7:7" x14ac:dyDescent="0.15">
      <c r="G880"/>
    </row>
    <row r="881" spans="7:7" x14ac:dyDescent="0.15">
      <c r="G881"/>
    </row>
    <row r="882" spans="7:7" x14ac:dyDescent="0.15">
      <c r="G882"/>
    </row>
    <row r="883" spans="7:7" x14ac:dyDescent="0.15">
      <c r="G883"/>
    </row>
    <row r="884" spans="7:7" x14ac:dyDescent="0.15">
      <c r="G884"/>
    </row>
    <row r="885" spans="7:7" x14ac:dyDescent="0.15">
      <c r="G885"/>
    </row>
    <row r="886" spans="7:7" x14ac:dyDescent="0.15">
      <c r="G886"/>
    </row>
    <row r="887" spans="7:7" x14ac:dyDescent="0.15">
      <c r="G887"/>
    </row>
    <row r="888" spans="7:7" x14ac:dyDescent="0.15">
      <c r="G888"/>
    </row>
    <row r="889" spans="7:7" x14ac:dyDescent="0.15">
      <c r="G889"/>
    </row>
    <row r="890" spans="7:7" x14ac:dyDescent="0.15">
      <c r="G890"/>
    </row>
    <row r="891" spans="7:7" x14ac:dyDescent="0.15">
      <c r="G891"/>
    </row>
    <row r="892" spans="7:7" x14ac:dyDescent="0.15">
      <c r="G892"/>
    </row>
    <row r="893" spans="7:7" x14ac:dyDescent="0.15">
      <c r="G893"/>
    </row>
    <row r="894" spans="7:7" x14ac:dyDescent="0.15">
      <c r="G894"/>
    </row>
    <row r="895" spans="7:7" x14ac:dyDescent="0.15">
      <c r="G895"/>
    </row>
    <row r="896" spans="7:7" x14ac:dyDescent="0.15">
      <c r="G896"/>
    </row>
    <row r="897" spans="7:7" x14ac:dyDescent="0.15">
      <c r="G897"/>
    </row>
    <row r="898" spans="7:7" x14ac:dyDescent="0.15">
      <c r="G898"/>
    </row>
    <row r="899" spans="7:7" x14ac:dyDescent="0.15">
      <c r="G899"/>
    </row>
    <row r="900" spans="7:7" x14ac:dyDescent="0.15">
      <c r="G900"/>
    </row>
    <row r="901" spans="7:7" x14ac:dyDescent="0.15">
      <c r="G901"/>
    </row>
    <row r="902" spans="7:7" x14ac:dyDescent="0.15">
      <c r="G902"/>
    </row>
    <row r="903" spans="7:7" x14ac:dyDescent="0.15">
      <c r="G903"/>
    </row>
    <row r="904" spans="7:7" x14ac:dyDescent="0.15">
      <c r="G904"/>
    </row>
    <row r="905" spans="7:7" x14ac:dyDescent="0.15">
      <c r="G905"/>
    </row>
    <row r="906" spans="7:7" x14ac:dyDescent="0.15">
      <c r="G906"/>
    </row>
    <row r="907" spans="7:7" x14ac:dyDescent="0.15">
      <c r="G907"/>
    </row>
    <row r="908" spans="7:7" x14ac:dyDescent="0.15">
      <c r="G908"/>
    </row>
    <row r="909" spans="7:7" x14ac:dyDescent="0.15">
      <c r="G909"/>
    </row>
    <row r="910" spans="7:7" x14ac:dyDescent="0.15">
      <c r="G910"/>
    </row>
    <row r="911" spans="7:7" x14ac:dyDescent="0.15">
      <c r="G911"/>
    </row>
    <row r="912" spans="7:7" x14ac:dyDescent="0.15">
      <c r="G912"/>
    </row>
    <row r="913" spans="7:7" x14ac:dyDescent="0.15">
      <c r="G913"/>
    </row>
    <row r="914" spans="7:7" x14ac:dyDescent="0.15">
      <c r="G914"/>
    </row>
    <row r="915" spans="7:7" x14ac:dyDescent="0.15">
      <c r="G915"/>
    </row>
    <row r="916" spans="7:7" x14ac:dyDescent="0.15">
      <c r="G916"/>
    </row>
    <row r="917" spans="7:7" x14ac:dyDescent="0.15">
      <c r="G917"/>
    </row>
    <row r="918" spans="7:7" x14ac:dyDescent="0.15">
      <c r="G918"/>
    </row>
    <row r="919" spans="7:7" x14ac:dyDescent="0.15">
      <c r="G919"/>
    </row>
    <row r="920" spans="7:7" x14ac:dyDescent="0.15">
      <c r="G920"/>
    </row>
    <row r="921" spans="7:7" x14ac:dyDescent="0.15">
      <c r="G921"/>
    </row>
    <row r="922" spans="7:7" x14ac:dyDescent="0.15">
      <c r="G922"/>
    </row>
    <row r="923" spans="7:7" x14ac:dyDescent="0.15">
      <c r="G923"/>
    </row>
    <row r="924" spans="7:7" x14ac:dyDescent="0.15">
      <c r="G924"/>
    </row>
    <row r="925" spans="7:7" x14ac:dyDescent="0.15">
      <c r="G925"/>
    </row>
    <row r="926" spans="7:7" x14ac:dyDescent="0.15">
      <c r="G926"/>
    </row>
    <row r="927" spans="7:7" x14ac:dyDescent="0.15">
      <c r="G927"/>
    </row>
    <row r="928" spans="7:7" x14ac:dyDescent="0.15">
      <c r="G928"/>
    </row>
    <row r="929" spans="7:7" x14ac:dyDescent="0.15">
      <c r="G929"/>
    </row>
    <row r="930" spans="7:7" x14ac:dyDescent="0.15">
      <c r="G930"/>
    </row>
    <row r="931" spans="7:7" x14ac:dyDescent="0.15">
      <c r="G931"/>
    </row>
    <row r="932" spans="7:7" x14ac:dyDescent="0.15">
      <c r="G932"/>
    </row>
    <row r="933" spans="7:7" x14ac:dyDescent="0.15">
      <c r="G93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1 - assemblies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Ott, S.E. (Susan)</cp:lastModifiedBy>
  <dcterms:modified xsi:type="dcterms:W3CDTF">2026-05-26T13:13:27Z</dcterms:modified>
</cp:coreProperties>
</file>